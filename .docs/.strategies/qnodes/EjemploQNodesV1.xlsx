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vmlDrawing2.vml" ContentType="application/vnd.openxmlformats-officedocument.vmlDrawing"/>
  <Override PartName="/xl/drawings/drawing4.xml" ContentType="application/vnd.openxmlformats-officedocument.drawing+xml"/>
  <Override PartName="/xl/_rels/workbook.xml.rels" ContentType="application/vnd.openxmlformats-package.relationships+xml"/>
  <Override PartName="/xl/media/image29.png" ContentType="image/png"/>
  <Override PartName="/xl/media/image6.png" ContentType="image/png"/>
  <Override PartName="/xl/media/image15.png" ContentType="image/png"/>
  <Override PartName="/xl/media/image10.png" ContentType="image/png"/>
  <Override PartName="/xl/media/image16.png" ContentType="image/png"/>
  <Override PartName="/xl/media/image7.png" ContentType="image/png"/>
  <Override PartName="/xl/media/image11.png" ContentType="image/png"/>
  <Override PartName="/xl/media/image2.png" ContentType="image/png"/>
  <Override PartName="/xl/media/image20.png" ContentType="image/png"/>
  <Override PartName="/xl/media/image9.png" ContentType="image/png"/>
  <Override PartName="/xl/media/image8.wmf" ContentType="image/x-wmf"/>
  <Override PartName="/xl/media/image13.png" ContentType="image/png"/>
  <Override PartName="/xl/media/image3.png" ContentType="image/png"/>
  <Override PartName="/xl/media/image12.png" ContentType="image/png"/>
  <Override PartName="/xl/media/image30.png" ContentType="image/png"/>
  <Override PartName="/xl/media/image4.wmf" ContentType="image/x-wmf"/>
  <Override PartName="/xl/media/image28.png" ContentType="image/png"/>
  <Override PartName="/xl/media/image5.png" ContentType="image/png"/>
  <Override PartName="/xl/media/image14.png" ContentType="image/png"/>
  <Override PartName="/xl/media/image1.wmf" ContentType="image/x-wmf"/>
  <Override PartName="/xl/media/image25.png" ContentType="image/png"/>
  <Override PartName="/xl/media/image17.png" ContentType="image/png"/>
  <Override PartName="/xl/media/image19.png" ContentType="image/png"/>
  <Override PartName="/xl/media/image18.png" ContentType="image/png"/>
  <Override PartName="/xl/media/image21.wmf" ContentType="image/x-wmf"/>
  <Override PartName="/xl/media/image22.png" ContentType="image/png"/>
  <Override PartName="/xl/media/image23.png" ContentType="image/png"/>
  <Override PartName="/xl/media/image24.png" ContentType="image/png"/>
  <Override PartName="/xl/media/image26.png" ContentType="image/png"/>
  <Override PartName="/xl/media/image27.png" ContentType="image/p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_rels/item1.xml.rels" ContentType="application/vnd.openxmlformats-package.relationships+xml"/>
  <Override PartName="/customXml/item1.xml" ContentType="application/xml"/>
  <Override PartName="/customXml/itemProps1.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QNodes" sheetId="1" state="visible" r:id="rId3"/>
    <sheet name="QNodes ABCt+1|ABCt" sheetId="2" state="visible" r:id="rId4"/>
    <sheet name="QNodes ACt+1|ABCt" sheetId="3" state="visible" r:id="rId5"/>
    <sheet name="Representaciones de los datos" sheetId="4" state="visible" r:id="rId6"/>
  </sheets>
  <externalReferences>
    <externalReference r:id="rId7"/>
  </externalReferenc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Luz Enith:
</t>
        </r>
        <r>
          <rPr>
            <sz val="9"/>
            <rFont val="Tahoma"/>
            <family val="0"/>
            <charset val="134"/>
          </rPr>
          <t xml:space="preserve">En este caso la funcion g(W1) es la funcion EMD. Cuando se tiene EMD({A,B}) este es un soloparametro e indica que secalcula el sistema partido en dos: Una es AB y la otra el resto de elementos, con lo que se debe calcular el repertorio efecto del sistema partido, y esa distribucion es el primer parametro de la funcion EMD y el segundo parametro de la función seria el sistema original, sin partir (en este ejemplo ABCA'B'C'). 
Lo mismo sucederia cuando se calcula EMD(B) eso significaría  que el sistema esta partido en dos una es B y la otra el resto de elementos, una vez se calcule este primer parametro( la distribucion de probabilidades del sistema partido)sel segundo parametro seria el sistema completo y ya se calcula la EMD sobre estos dos parametros.  </t>
        </r>
      </text>
    </comment>
    <comment ref="B71" authorId="0">
      <text>
        <r>
          <rPr>
            <sz val="10"/>
            <rFont val="Arial"/>
            <family val="2"/>
          </rPr>
          <t xml:space="preserve">Luz Enith:
</t>
        </r>
        <r>
          <rPr>
            <sz val="9"/>
            <rFont val="Tahoma"/>
            <family val="0"/>
            <charset val="134"/>
          </rPr>
          <t xml:space="preserve">En este caso la funcion g(W1) es la funcion EMD. Cuando se tiene EMD({A,B}) este es un soloparametro e indica que secalcula el sistema partido en dos: Una es AB y la otra el resto de elementos, con lo que se debe calcular el repertorio efecto del sistema partido, y esa distribucion es el primer parametro de la funcion EMD y el segundo parametro de la función seria el sistema original, sin partir (en este ejemplo ABCA'B'C'). 
Lo mismo sucederia cuando se calcula EMD(B) eso significaría  que el sistema esta partido en dos una es B y la otra el resto de elementos, una vez se calcule este primer parametro( la distribucion de probabilidades del sistema partido)sel segundo parametro seria el sistema completo y ya se calcula la EMD sobre estos dos parametros.  </t>
        </r>
      </text>
    </comment>
    <comment ref="U17" authorId="0">
      <text>
        <r>
          <rPr>
            <sz val="10"/>
            <rFont val="Arial"/>
            <family val="2"/>
          </rPr>
          <t xml:space="preserve">Luz Enith:
</t>
        </r>
        <r>
          <rPr>
            <sz val="9"/>
            <rFont val="Tahoma"/>
            <family val="0"/>
            <charset val="134"/>
          </rPr>
          <t xml:space="preserve">Este se habia calculado arriba entonces se usa ese valor ya calculado</t>
        </r>
      </text>
    </comment>
    <comment ref="U24" authorId="0">
      <text>
        <r>
          <rPr>
            <sz val="10"/>
            <rFont val="Arial"/>
            <family val="2"/>
          </rPr>
          <t xml:space="preserve">Luz Enith:
</t>
        </r>
        <r>
          <rPr>
            <sz val="9"/>
            <rFont val="Tahoma"/>
            <family val="0"/>
            <charset val="134"/>
          </rPr>
          <t xml:space="preserve">Este se habia calculado arriba entonces se usa ese valor ya calculado</t>
        </r>
      </text>
    </comment>
    <comment ref="U30" authorId="0">
      <text>
        <r>
          <rPr>
            <sz val="10"/>
            <rFont val="Arial"/>
            <family val="2"/>
          </rPr>
          <t xml:space="preserve">Luz Enith:
</t>
        </r>
        <r>
          <rPr>
            <sz val="9"/>
            <rFont val="Tahoma"/>
            <family val="0"/>
            <charset val="134"/>
          </rPr>
          <t xml:space="preserve">Este se habia calculado arriba entonces se usa ese valor ya calculado</t>
        </r>
      </text>
    </comment>
    <comment ref="W176" authorId="0">
      <text>
        <r>
          <rPr>
            <sz val="10"/>
            <rFont val="Arial"/>
            <family val="2"/>
          </rPr>
          <t xml:space="preserve">Luz Enith:
</t>
        </r>
        <r>
          <rPr>
            <sz val="9"/>
            <rFont val="Tahoma"/>
            <family val="0"/>
            <charset val="134"/>
          </rPr>
          <t xml:space="preserve">Ver el calculo con presente vacio de la hoja RepEfectoUC en cualquiera de los archivos
</t>
        </r>
      </text>
    </comment>
    <comment ref="AG30" authorId="0">
      <text>
        <r>
          <rPr>
            <sz val="10"/>
            <rFont val="Arial"/>
            <family val="2"/>
          </rPr>
          <t xml:space="preserve">Luz Enith:
</t>
        </r>
        <r>
          <rPr>
            <sz val="9"/>
            <rFont val="Tahoma"/>
            <family val="0"/>
            <charset val="134"/>
          </rPr>
          <t xml:space="preserve">Recordar que para calcular esta distribucion de probabilidades hay que aplicar la formula que distribuye el numerador sobre el denominador</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Luz Enith:
</t>
        </r>
        <r>
          <rPr>
            <sz val="9"/>
            <rFont val="Tahoma"/>
            <family val="0"/>
            <charset val="134"/>
          </rPr>
          <t xml:space="preserve">En este caso la funcion g(W1) es la funcion EMD. Cuando se tiene EMD({A,B}) este es un soloparametro e indica que secalcula el sistema partido en dos: Una es AB y la otra el resto de elementos, con lo que se debe calcular el repertorio efecto del sistema partido, y esa distribucion es el primer parametro de la funcion EMD y el segundo parametro de la función seria el sistema original, sin partir (en este ejemplo ABCA'B'C'). 
Lo mismo sucederia cuando se calcula EMD(B) eso significaría  que el sistema esta partido en dos una es B y la otra el resto de elementos, una vez se calcule este primer parametro( la distribucion de probabilidades del sistema partido)sel segundo parametro seria el sistema completo y ya se calcula la EMD sobre estos dos parametros.  </t>
        </r>
      </text>
    </comment>
    <comment ref="B38" authorId="0">
      <text>
        <r>
          <rPr>
            <sz val="10"/>
            <rFont val="Arial"/>
            <family val="2"/>
          </rPr>
          <t xml:space="preserve">Luz Enith:
</t>
        </r>
        <r>
          <rPr>
            <sz val="9"/>
            <rFont val="Tahoma"/>
            <family val="0"/>
            <charset val="134"/>
          </rPr>
          <t xml:space="preserve">En este caso la funcion g(W1) es la funcion EMD. Cuando se tiene EMD({A,B}) este es un soloparametro e indica que secalcula el sistema partido en dos: Una es AB y la otra el resto de elementos, con lo que se debe calcular el repertorio efecto del sistema partido, y esa distribucion es el primer parametro de la funcion EMD y el segundo parametro de la función seria el sistema original, sin partir (en este ejemplo ABCA'B'C'). 
Lo mismo sucederia cuando se calcula EMD(B) eso significaría  que el sistema esta partido en dos una es B y la otra el resto de elementos, una vez se calcule este primer parametro( la distribucion de probabilidades del sistema partido)sel segundo parametro seria el sistema completo y ya se calcula la EMD sobre estos dos parametros.  </t>
        </r>
      </text>
    </comment>
    <comment ref="B56" authorId="0">
      <text>
        <r>
          <rPr>
            <sz val="10"/>
            <rFont val="Arial"/>
            <family val="2"/>
          </rPr>
          <t xml:space="preserve">Luz Enith:
</t>
        </r>
        <r>
          <rPr>
            <sz val="9"/>
            <rFont val="Tahoma"/>
            <family val="0"/>
            <charset val="134"/>
          </rPr>
          <t xml:space="preserve">En este caso la funcion g(W1) es la funcion EMD. Cuando se tiene EMD({A,B}) este es un soloparametro e indica que secalcula el sistema partido en dos: Una es AB y la otra el resto de elementos, con lo que se debe calcular el repertorio efecto del sistema partido, y esa distribucion es el primer parametro de la funcion EMD y el segundo parametro de la función seria el sistema original, sin partir (en este ejemplo ABCA'B'C'). 
Lo mismo sucederia cuando se calcula EMD(B) eso significaría  que el sistema esta partido en dos una es B y la otra el resto de elementos, una vez se calcule este primer parametro( la distribucion de probabilidades del sistema partido)sel segundo parametro seria el sistema completo y ya se calcula la EMD sobre estos dos parametros.  </t>
        </r>
      </text>
    </comment>
  </commentList>
</comments>
</file>

<file path=xl/sharedStrings.xml><?xml version="1.0" encoding="utf-8"?>
<sst xmlns="http://schemas.openxmlformats.org/spreadsheetml/2006/main" count="1141" uniqueCount="354">
  <si>
    <t xml:space="preserve">Comenzamos con el sistema completo V = {A, B, C, A', B', C'}.</t>
  </si>
  <si>
    <t xml:space="preserve">Se toma un elemento inicial cualquiera, en este caso  </t>
  </si>
  <si>
    <t xml:space="preserve">v₁ =A,         luego se construye la secuencia</t>
  </si>
  <si>
    <r>
      <rPr>
        <sz val="11"/>
        <color theme="1"/>
        <rFont val="Calibri"/>
        <family val="0"/>
        <charset val="134"/>
      </rPr>
      <t xml:space="preserve">W₀ = </t>
    </r>
    <r>
      <rPr>
        <sz val="11"/>
        <color theme="1"/>
        <rFont val="Cambria Math"/>
        <family val="0"/>
        <charset val="134"/>
      </rPr>
      <t xml:space="preserve">∅</t>
    </r>
  </si>
  <si>
    <t xml:space="preserve"> W₁  =  {v₁}  =  {A}   </t>
  </si>
  <si>
    <t xml:space="preserve">Para i = 2, 3, 4, 5, 6 se calcula:           vi = arg min[g(Wi-1 ∪ {u}) - g({u})     para  u ∈V\Wi-1</t>
  </si>
  <si>
    <t xml:space="preserve">Esto es:</t>
  </si>
  <si>
    <r>
      <rPr>
        <sz val="11"/>
        <color theme="1"/>
        <rFont val="Calibri"/>
        <family val="0"/>
        <charset val="134"/>
      </rPr>
      <t xml:space="preserve">   v₂ = arg </t>
    </r>
    <r>
      <rPr>
        <b val="true"/>
        <sz val="11"/>
        <color theme="1"/>
        <rFont val="Calibri"/>
        <family val="0"/>
        <charset val="134"/>
      </rPr>
      <t xml:space="preserve">min</t>
    </r>
    <r>
      <rPr>
        <sz val="11"/>
        <color theme="1"/>
        <rFont val="Calibri"/>
        <family val="0"/>
        <charset val="134"/>
      </rPr>
      <t xml:space="preserve">[g(W₁ </t>
    </r>
    <r>
      <rPr>
        <sz val="11"/>
        <color theme="1"/>
        <rFont val="Cambria Math"/>
        <family val="0"/>
        <charset val="134"/>
      </rPr>
      <t xml:space="preserve">∪</t>
    </r>
    <r>
      <rPr>
        <sz val="11"/>
        <color theme="1"/>
        <rFont val="Calibri"/>
        <family val="0"/>
        <charset val="134"/>
      </rPr>
      <t xml:space="preserve"> {u}) - g({u})]         para u </t>
    </r>
    <r>
      <rPr>
        <sz val="11"/>
        <color theme="1"/>
        <rFont val="Cambria Math"/>
        <family val="0"/>
        <charset val="134"/>
      </rPr>
      <t xml:space="preserve">∈</t>
    </r>
    <r>
      <rPr>
        <sz val="11"/>
        <color theme="1"/>
        <rFont val="Calibri"/>
        <family val="0"/>
        <charset val="134"/>
      </rPr>
      <t xml:space="preserve"> {B, C, A', B', C'},          El paso a paso se muestra a continuaciín:</t>
    </r>
  </si>
  <si>
    <t xml:space="preserve">//El algoritmo está buscando el elemento u que, al añadirse a Wi, resulte en la menor pérdida de información (o la menor dependencia) con el resto del sistema.</t>
  </si>
  <si>
    <t xml:space="preserve">Probamos con u= B  --&gt;   g(W₁ ∪ {B}) - g({B}) ------&gt;  EMD(W₁ U {B}) - EMD(B)   = EMD(A,B)  -  EMD(B) </t>
  </si>
  <si>
    <t xml:space="preserve">Probamos con u= C  --&gt;    [g(W₁ ∪ {C}) - g({C})] </t>
  </si>
  <si>
    <t xml:space="preserve">Probamos con u= A'  --&gt;   [g(W₁ ∪ {A'}) - g({A'})] </t>
  </si>
  <si>
    <t xml:space="preserve">Probamos con u= B'  --&gt;   [g(W₁ ∪ {B'}) - g({B'})] </t>
  </si>
  <si>
    <t xml:space="preserve">Probamos con u= C'  --&gt;   [g(W₁ ∪ {C'}) - g({C'})] </t>
  </si>
  <si>
    <t xml:space="preserve">A</t>
  </si>
  <si>
    <t xml:space="preserve">B</t>
  </si>
  <si>
    <t xml:space="preserve">C</t>
  </si>
  <si>
    <t xml:space="preserve">En este ejemplo vamos a empezar por quitar conexiones de una en una, ordenadamente.</t>
  </si>
  <si>
    <t xml:space="preserve">estado futuro</t>
  </si>
  <si>
    <t xml:space="preserve">Estado actual</t>
  </si>
  <si>
    <t xml:space="preserve">Repertorio EFECTO ABCf/ABCc</t>
  </si>
  <si>
    <t xml:space="preserve">Tenemos  P(ABC f/ABCc=100)</t>
  </si>
  <si>
    <t xml:space="preserve">SISTEMA V</t>
  </si>
  <si>
    <t xml:space="preserve">Importantly, for all y ∈ V \ Wi and all X ⊆ Wi−1 in the series (Wi) i=1..N</t>
  </si>
  <si>
    <t xml:space="preserve">Sistema candidato : A, B,  C</t>
  </si>
  <si>
    <t xml:space="preserve">constructed by the procedure above for the submodular system (V, f), the following  inequality holds</t>
  </si>
  <si>
    <t xml:space="preserve">g(Wi) + g(y) ≤ g(Wi \ X) + g(X + y)</t>
  </si>
  <si>
    <t xml:space="preserve">para g=EMD en nuestra investigación</t>
  </si>
  <si>
    <t xml:space="preserve">Empecemos con W1   y=C y   X= B,</t>
  </si>
  <si>
    <t xml:space="preserve">Subsistema:</t>
  </si>
  <si>
    <t xml:space="preserve">EMD(A,) + EMD(C,) &lt;= EMD(A,)+EMD (B,C)</t>
  </si>
  <si>
    <t xml:space="preserve">V= {A,B, C, A', B',C'}</t>
  </si>
  <si>
    <r>
      <rPr>
        <sz val="11"/>
        <color theme="9"/>
        <rFont val="Calibri"/>
        <family val="0"/>
        <charset val="134"/>
      </rPr>
      <t xml:space="preserve">EMD((P({}|A) x P(A'B'C'|BC)),SO)</t>
    </r>
    <r>
      <rPr>
        <sz val="11"/>
        <color theme="1"/>
        <rFont val="Calibri"/>
        <family val="0"/>
        <charset val="134"/>
      </rPr>
      <t xml:space="preserve"> +</t>
    </r>
    <r>
      <rPr>
        <sz val="11"/>
        <color theme="8" tint="-0.25"/>
        <rFont val="Calibri"/>
        <family val="0"/>
        <charset val="134"/>
      </rPr>
      <t xml:space="preserve"> EMD((P({}|C) x P(A'B'C'|AB)),SO)</t>
    </r>
    <r>
      <rPr>
        <sz val="11"/>
        <color theme="1"/>
        <rFont val="Calibri"/>
        <family val="0"/>
        <charset val="134"/>
      </rPr>
      <t xml:space="preserve"> &lt;= </t>
    </r>
    <r>
      <rPr>
        <sz val="11"/>
        <color theme="9"/>
        <rFont val="Calibri"/>
        <family val="0"/>
        <charset val="134"/>
      </rPr>
      <t xml:space="preserve">EMD(P({}|A) x P(A'B'C'|BC)),SO)</t>
    </r>
    <r>
      <rPr>
        <sz val="11"/>
        <color theme="1"/>
        <rFont val="Calibri"/>
        <family val="0"/>
        <charset val="134"/>
      </rPr>
      <t xml:space="preserve">+</t>
    </r>
    <r>
      <rPr>
        <b val="true"/>
        <sz val="11"/>
        <color theme="5" tint="-0.25"/>
        <rFont val="Calibri"/>
        <family val="0"/>
        <charset val="134"/>
      </rPr>
      <t xml:space="preserve">EMD (P({}|BC) x P(A'B'C'|A))</t>
    </r>
  </si>
  <si>
    <t xml:space="preserve">W1=V1={A}</t>
  </si>
  <si>
    <t xml:space="preserve">  g(W₁ ∪ {u})</t>
  </si>
  <si>
    <t xml:space="preserve">  g({u})</t>
  </si>
  <si>
    <t xml:space="preserve"> v₂ = arg min[ g(W₁ ∪ {u}) - g({u}) ] </t>
  </si>
  <si>
    <t xml:space="preserve">Para u  { B, C, A', B', C'}</t>
  </si>
  <si>
    <t xml:space="preserve">Repertorio efecto (RE1)</t>
  </si>
  <si>
    <t xml:space="preserve">Sistema (V)</t>
  </si>
  <si>
    <t xml:space="preserve">EMD(V, RE1)</t>
  </si>
  <si>
    <t xml:space="preserve">Repertorio efecto (RE2)</t>
  </si>
  <si>
    <t xml:space="preserve">EMD(V , RE2)</t>
  </si>
  <si>
    <t xml:space="preserve">RESULTADO</t>
  </si>
  <si>
    <t xml:space="preserve">EMD</t>
  </si>
  <si>
    <t xml:space="preserve">Probamos con u= B  --&gt;   g(W₁ ∪ {B}) - g({B})  = EMD({A,B},)  -  EMD({B},) </t>
  </si>
  <si>
    <t xml:space="preserve">1) P({}|AB) x P(A'B'C'|C)</t>
  </si>
  <si>
    <t xml:space="preserve">ABCA'B'C'</t>
  </si>
  <si>
    <t xml:space="preserve"> P({}|B) x P(A'B'C'|AC)</t>
  </si>
  <si>
    <t xml:space="preserve">EMD= </t>
  </si>
  <si>
    <t xml:space="preserve">EMD=</t>
  </si>
  <si>
    <t xml:space="preserve">con esto estamos probando si se cumple g(Wi) + g(y) ≤ g(Wi \ X) + g(X + y) aunque debe ser para tod y que petence a Vy no a Wi, solo aquí lo tomamos en un caso</t>
  </si>
  <si>
    <t xml:space="preserve">Probamos con u= C  --&gt;    g(W₁ ∪ {C}) - g({C}) = EMD({A,C},)  -  EMD({C},) </t>
  </si>
  <si>
    <t xml:space="preserve">2)P({}|AC) x P(A'B'C'|B)</t>
  </si>
  <si>
    <t xml:space="preserve"> P({}|C) x P(A'B'C'|AB)</t>
  </si>
  <si>
    <t xml:space="preserve">Probamos con u= A'  --&gt;  g(W₁ ∪ {A'}) - g({A'})  = EMD({A,A'},)  -  EMD({A'},)  </t>
  </si>
  <si>
    <t xml:space="preserve">3)P(A'|A) x P(B'C'|BC)</t>
  </si>
  <si>
    <t xml:space="preserve"> P(A'|{}) x P(B'C'|ABC)</t>
  </si>
  <si>
    <t xml:space="preserve">&lt;=</t>
  </si>
  <si>
    <t xml:space="preserve">Probamos con u= B'  --&gt;  g(W₁ ∪ {B'}) - g({B'})  = EMD({A,B'},)  -  EMD({B'},)  </t>
  </si>
  <si>
    <t xml:space="preserve">4)P(B'|A) x P(A'C'|BC)</t>
  </si>
  <si>
    <t xml:space="preserve"> P(B'|{}) x P(A'C'|ABC)</t>
  </si>
  <si>
    <t xml:space="preserve">Probamos con u= C'  --&gt;   g(W₁ ∪ {C'}) - g({C'})  = EMD({A,C'},)  -  EMD({C'},)  </t>
  </si>
  <si>
    <t xml:space="preserve">5)P(C'|A) x P(A'B'|BC)</t>
  </si>
  <si>
    <t xml:space="preserve"> P(C'|{}) x P(A'B'|ABC)</t>
  </si>
  <si>
    <r>
      <rPr>
        <sz val="11"/>
        <color theme="1"/>
        <rFont val="Calibri"/>
        <family val="0"/>
        <charset val="134"/>
      </rPr>
      <t xml:space="preserve"> v₂ =B   </t>
    </r>
    <r>
      <rPr>
        <sz val="9"/>
        <color theme="1"/>
        <rFont val="Calibri"/>
        <family val="0"/>
        <charset val="134"/>
      </rPr>
      <t xml:space="preserve">luego del paso anterior  v2 puede se B o C' ( donde la funcion alcanza su minimo valor). Escogemos V2=B</t>
    </r>
  </si>
  <si>
    <t xml:space="preserve"> W₂ = W₁ ∪ {B} ={ A, B }</t>
  </si>
  <si>
    <t xml:space="preserve">REPERTORIO EFECTO 1</t>
  </si>
  <si>
    <t xml:space="preserve">REPERTORIO EFECTO 2</t>
  </si>
  <si>
    <t xml:space="preserve"> v3 = arg min[g(W2 ∪ {u}) - g({u})] </t>
  </si>
  <si>
    <t xml:space="preserve">Para u  { C, A', B', C'}</t>
  </si>
  <si>
    <t xml:space="preserve">EMD(V , RE1)</t>
  </si>
  <si>
    <t xml:space="preserve">Probamos con u= C  --&gt;    g(W2 ∪ {C}) - g({C}) ------&gt;  EMD({A,B,C},) - EMD({C},)   </t>
  </si>
  <si>
    <t xml:space="preserve">6) P({}|ABC) x P(A'B'C'|{})</t>
  </si>
  <si>
    <t xml:space="preserve">Probamos con u= A'  --&gt;  g(W2 ∪ {A'}) - g({A'})------&gt;  EMD({A,B,A'},)  -  EMD({A'},)  </t>
  </si>
  <si>
    <t xml:space="preserve">7)P(A'|AB) x P(B'C'|C)</t>
  </si>
  <si>
    <t xml:space="preserve">1)</t>
  </si>
  <si>
    <t xml:space="preserve">Probamos con u= B'  --&gt;  g(W2 ∪ {B'}) - g({B'})------&gt; EMD({A,B,B'},)  -  EMD({B'},)  </t>
  </si>
  <si>
    <t xml:space="preserve">8)P(B'|AB) x P(A'C'|C)</t>
  </si>
  <si>
    <t xml:space="preserve">Probamos con u= C'  --&gt;   g(W2 ∪ {C'}) - g({C'})------&gt;   EMD({A,B,C'},)  -  EMD({C'},)  </t>
  </si>
  <si>
    <t xml:space="preserve">9)P(C'|AB) x P(A'B'|C)</t>
  </si>
  <si>
    <t xml:space="preserve">v3 = C'</t>
  </si>
  <si>
    <t xml:space="preserve">W3 = W2 ∪ {C'} ={ A, B, C' }</t>
  </si>
  <si>
    <t xml:space="preserve"> v4 = arg min[g(W3 ∪ {u}) - g({u})] </t>
  </si>
  <si>
    <t xml:space="preserve">Para u  { C, A', B'}</t>
  </si>
  <si>
    <t xml:space="preserve">EMD(V, RE2)</t>
  </si>
  <si>
    <t xml:space="preserve">Probamos con u= C  --&gt;    g(W3 ∪ {C}) - g({C}) ------&gt;  EMD({A,B,C',C},) - EMD({C},)   </t>
  </si>
  <si>
    <t xml:space="preserve">10) P(C'|ABC) x P(A'B'|{})</t>
  </si>
  <si>
    <t xml:space="preserve">Probamos con u= A'  --&gt;  g(W3 ∪ {A'}) - g({A'})------&gt;  EMD({A,B,C',A'},)  -  EMD({A'},)  </t>
  </si>
  <si>
    <t xml:space="preserve">11)P(A'C'|AB) x P(B'|C)</t>
  </si>
  <si>
    <t xml:space="preserve">EMD(S,RE1)= </t>
  </si>
  <si>
    <t xml:space="preserve">EMD(S,RE2)= </t>
  </si>
  <si>
    <t xml:space="preserve">Probamos con u= B'  --&gt;  g(W3 ∪ {B'}) - g({B'})------&gt; EMD({A,B,C',B'},)  -  EMD({B'},)  </t>
  </si>
  <si>
    <t xml:space="preserve">12)P(B'C'|AB) x P(A'|C)</t>
  </si>
  <si>
    <t xml:space="preserve">2)</t>
  </si>
  <si>
    <t xml:space="preserve">v4 = A'</t>
  </si>
  <si>
    <t xml:space="preserve">W4 = W3 ∪ {A'} ={ A, B, C',A'}</t>
  </si>
  <si>
    <t xml:space="preserve">     Para u  { C, B'}</t>
  </si>
  <si>
    <t xml:space="preserve"> v5 = arg min[g(W4 ∪ {u}) - g({u})] </t>
  </si>
  <si>
    <t xml:space="preserve">Probamos con u= C  --&gt;    g(W4 ∪ {C}) - g({C}) ------&gt;  EMD({A,B,A',C',C},) - EMD({C},)   </t>
  </si>
  <si>
    <t xml:space="preserve">13) P(A'C'|ABC) x P(B'|{})</t>
  </si>
  <si>
    <t xml:space="preserve">Probamos con u= B'  --&gt;  g(W4 ∪ {B'}) - g({B'})------&gt; EMD({A,B,A',C',B'},)  -  EMD({B'},)  </t>
  </si>
  <si>
    <t xml:space="preserve">14)P(A'B'C'|AB) x P({}|C)</t>
  </si>
  <si>
    <t xml:space="preserve">v5 = C</t>
  </si>
  <si>
    <t xml:space="preserve">W5 = W4∪ {C} ={ A, B, C',A', C}</t>
  </si>
  <si>
    <t xml:space="preserve">v6= B' debido a que ya no hay mas opciones</t>
  </si>
  <si>
    <t xml:space="preserve">Al finalizar el ciclo externo tendríamos v1=A, v2=B, v3=C' v4=A' v5=C, V6=B'</t>
  </si>
  <si>
    <t xml:space="preserve">3)</t>
  </si>
  <si>
    <t xml:space="preserve">Luego de terminada la primera iteracion del ciclo externo considerar lo siguiente para un par candidato (t,u):</t>
  </si>
  <si>
    <t xml:space="preserve">a) El conjunto {u} es una solucion del problema de minimización</t>
  </si>
  <si>
    <t xml:space="preserve">    Esto es, {u}={B'} (último elemento del par pendiente, es una solución del problema. Eso significa que  llegaríamos a una partición  que sería {B'} | {A,B, C,A',C'}  y esta sería nuestra primera partición candidata, que se arma dejando el ultimo elemento del par candidato en un subconjunto (para este caso B') y los otros elementos en otro</t>
  </si>
  <si>
    <r>
      <rPr>
        <sz val="9"/>
        <color theme="1"/>
        <rFont val="Calibri"/>
        <family val="0"/>
        <charset val="134"/>
      </rPr>
      <t xml:space="preserve">b)El par candidato es  </t>
    </r>
    <r>
      <rPr>
        <b val="true"/>
        <sz val="9"/>
        <color theme="1"/>
        <rFont val="Calibri"/>
        <family val="0"/>
        <charset val="134"/>
      </rPr>
      <t xml:space="preserve">u'= (v5,v6)= (C,B')</t>
    </r>
    <r>
      <rPr>
        <sz val="9"/>
        <color theme="1"/>
        <rFont val="Calibri"/>
        <family val="0"/>
        <charset val="134"/>
      </rPr>
      <t xml:space="preserve"> y lo incorporamos como un nuevo elemento ya que se construye un nuevo sistema submodular  y se inicia nuvamente el proceso.</t>
    </r>
  </si>
  <si>
    <t xml:space="preserve">entonces tendríamos V'= {A, B, A', C', u'} y el proceso vuelve a iniciar para V'(nuestro nuevo conjunto V )</t>
  </si>
  <si>
    <t xml:space="preserve">Para u  { B,A', C', u'}</t>
  </si>
  <si>
    <r>
      <rPr>
        <sz val="11"/>
        <color theme="1"/>
        <rFont val="Calibri"/>
        <family val="0"/>
        <charset val="134"/>
      </rPr>
      <t xml:space="preserve">C y B' </t>
    </r>
    <r>
      <rPr>
        <sz val="9"/>
        <color theme="1"/>
        <rFont val="Calibri"/>
        <family val="0"/>
        <charset val="134"/>
      </rPr>
      <t xml:space="preserve">no se tienen en cuenta individualmente  sino que se tienen en cuenta como un par, es decir deben ir ambos</t>
    </r>
  </si>
  <si>
    <t xml:space="preserve">15) P({}|AB) x P(A'B'C'|C)</t>
  </si>
  <si>
    <t xml:space="preserve">16)P(A'|A) x P(B'C'|BC)</t>
  </si>
  <si>
    <t xml:space="preserve">Probamos con u=u' =(C, B')  --&gt;  g(W₁ ∪ {C,B'}) - g({C,B'})  = EMD({A,C,B'},)  -  EMD({C,B'},)  </t>
  </si>
  <si>
    <t xml:space="preserve">17)P(B'|AC) x P(A'C'|B)</t>
  </si>
  <si>
    <t xml:space="preserve"> P(B'|C) x P(A'C'|AB)</t>
  </si>
  <si>
    <t xml:space="preserve">18)P(C'|A) x P(A'B'|BC)</t>
  </si>
  <si>
    <t xml:space="preserve">4)</t>
  </si>
  <si>
    <r>
      <rPr>
        <sz val="11"/>
        <color theme="1"/>
        <rFont val="Calibri"/>
        <family val="0"/>
        <charset val="134"/>
      </rPr>
      <t xml:space="preserve"> v₂ =   </t>
    </r>
    <r>
      <rPr>
        <sz val="9"/>
        <color theme="1"/>
        <rFont val="Calibri"/>
        <family val="0"/>
        <charset val="134"/>
      </rPr>
      <t xml:space="preserve">luego del paso anterior  v2 puede ser B o C'  ( donde la funcion alcanza su minimo valor). Escogemos V2= B</t>
    </r>
  </si>
  <si>
    <t xml:space="preserve"> v3 = arg min[ g(W2 ∪ {u}) - g({u}) ] </t>
  </si>
  <si>
    <t xml:space="preserve">Para u  { A', C', u'}</t>
  </si>
  <si>
    <t xml:space="preserve">Sistema (S)</t>
  </si>
  <si>
    <t xml:space="preserve">Probamos con u= A'  --&gt;  g(W2 ∪ {A'}) - g({A'})  = EMD({A,B,A'},)  -  EMD({A'},)  </t>
  </si>
  <si>
    <t xml:space="preserve">19)P(A'|AB) x P(B'C'|C)</t>
  </si>
  <si>
    <t xml:space="preserve">Probamos con u=u' =(C, B')  --&gt;  g(W2 ∪ {C,B'}) - g({C,B'})  = EMD({A,B,C,B'},)  -  EMD({C,B'},)  </t>
  </si>
  <si>
    <t xml:space="preserve">20)P(B'|ABC) x P(A'C'|{})</t>
  </si>
  <si>
    <t xml:space="preserve">Probamos con u= C'  --&gt;   g(W2 ∪ {C'}) - g({C'})  = EMD({A,B,C'},)  -  EMD({C'},)  </t>
  </si>
  <si>
    <t xml:space="preserve">21))P(C'|AB) x P(A'B'|C)</t>
  </si>
  <si>
    <r>
      <rPr>
        <sz val="11"/>
        <color theme="1"/>
        <rFont val="Calibri"/>
        <family val="0"/>
        <charset val="134"/>
      </rPr>
      <t xml:space="preserve"> v3 =  </t>
    </r>
    <r>
      <rPr>
        <sz val="9"/>
        <color theme="1"/>
        <rFont val="Calibri"/>
        <family val="0"/>
        <charset val="134"/>
      </rPr>
      <t xml:space="preserve"> C' ( donde la funcion alcanza su minimo valor)</t>
    </r>
  </si>
  <si>
    <t xml:space="preserve"> W3 = W2 ∪ {A'} ={ A, B,C' }</t>
  </si>
  <si>
    <t xml:space="preserve"> v4 = arg min[ g(W3 ∪ {u}) - g({u}) ] </t>
  </si>
  <si>
    <t xml:space="preserve">Para u  { A', u'}</t>
  </si>
  <si>
    <t xml:space="preserve">Probamos con u=u' =(C, B')  --&gt;  g(W3 ∪ {C,B'}) - g({C,B'})  = EMD({A,B,C',C,B'},)  -  EMD({C,B'},)  </t>
  </si>
  <si>
    <t xml:space="preserve">22)P(C'B'|ABC) x P(A'|{})</t>
  </si>
  <si>
    <t xml:space="preserve">5)</t>
  </si>
  <si>
    <t xml:space="preserve">Probamos con       u= A'           --&gt;   g(W3 ∪ {A'}) - g({A'})  = EMD({A,B,A',C'},)  -  EMD({A'},)  </t>
  </si>
  <si>
    <t xml:space="preserve">23))P(A'C'|AB) x P(B'|C)</t>
  </si>
  <si>
    <t xml:space="preserve"> P(A'|{}) x P(C'B'|ABC)</t>
  </si>
  <si>
    <r>
      <rPr>
        <sz val="11"/>
        <color theme="1"/>
        <rFont val="Calibri"/>
        <family val="0"/>
        <charset val="134"/>
      </rPr>
      <t xml:space="preserve"> v4 =   A</t>
    </r>
    <r>
      <rPr>
        <sz val="9"/>
        <color theme="1"/>
        <rFont val="Calibri"/>
        <family val="0"/>
        <charset val="134"/>
      </rPr>
      <t xml:space="preserve">' </t>
    </r>
  </si>
  <si>
    <t xml:space="preserve"> W4= W3 ∪ {A'} ={ A, B,A' ,C'}</t>
  </si>
  <si>
    <t xml:space="preserve">v5= u' = (C,B') debido a que ya no hay mas opciones</t>
  </si>
  <si>
    <t xml:space="preserve">Al finalizar el ciclo externo tendríamos v1=A, v2=B, v3=C', v4=A', v5=u' = (C,B')</t>
  </si>
  <si>
    <t xml:space="preserve">Luego de terminado la segunda iteración del  ciclo externo considerar lo siguiente para un  par  candidato(t,u):</t>
  </si>
  <si>
    <t xml:space="preserve">a) El conjunto {u} es una solucion del problema de minimización. Esto es, {u}={C,B'} (último elemento del par candidato, es una solución del problema.</t>
  </si>
  <si>
    <t xml:space="preserve"> Eso significa que  llegaríamos a una partición  que sería {C,B'} | {A,B,A',C'}  y esta sería nuestra segunda partición candidata, que se arma dejando el ultimo elemento del par candidato  en un subconjunto (para este caso (CB') y los otros elementos en otro</t>
  </si>
  <si>
    <r>
      <rPr>
        <sz val="9"/>
        <color theme="1"/>
        <rFont val="Calibri"/>
        <family val="0"/>
        <charset val="134"/>
      </rPr>
      <t xml:space="preserve">b)El par candidato es  </t>
    </r>
    <r>
      <rPr>
        <b val="true"/>
        <sz val="9"/>
        <color theme="1"/>
        <rFont val="Calibri"/>
        <family val="0"/>
        <charset val="134"/>
      </rPr>
      <t xml:space="preserve">u''= (v4,v5)= (A',C,B')</t>
    </r>
    <r>
      <rPr>
        <sz val="9"/>
        <color theme="1"/>
        <rFont val="Calibri"/>
        <family val="0"/>
        <charset val="134"/>
      </rPr>
      <t xml:space="preserve"> y lo incorporamos como un nuevo elemento ya que se construye un nuevo sistema submodular  y se inicia nuvamente el proceso.</t>
    </r>
  </si>
  <si>
    <t xml:space="preserve">entonces tendríamos V''= {A, B, C', u''} y el proceso vuelve a iniciar para V''(nuestro nuevo conjunto V )</t>
  </si>
  <si>
    <t xml:space="preserve">CONTINUACION REPERTORIO EFECTO 1</t>
  </si>
  <si>
    <t xml:space="preserve">Para u  { B,C', u''}</t>
  </si>
  <si>
    <r>
      <rPr>
        <sz val="11"/>
        <color theme="1"/>
        <rFont val="Calibri"/>
        <family val="0"/>
        <charset val="134"/>
      </rPr>
      <t xml:space="preserve">A',C y B' </t>
    </r>
    <r>
      <rPr>
        <sz val="9"/>
        <color theme="1"/>
        <rFont val="Calibri"/>
        <family val="0"/>
        <charset val="134"/>
      </rPr>
      <t xml:space="preserve">no se tienen en cuenta individualmente  sino que deben ir juntos</t>
    </r>
  </si>
  <si>
    <t xml:space="preserve">EMD(S , RE1)</t>
  </si>
  <si>
    <t xml:space="preserve">EMD(S , RE2)</t>
  </si>
  <si>
    <t xml:space="preserve">6)</t>
  </si>
  <si>
    <t xml:space="preserve">13)</t>
  </si>
  <si>
    <t xml:space="preserve">24) P({}|AB) x P(A'B'C'|C)</t>
  </si>
  <si>
    <t xml:space="preserve">Probamos con u= C'  --&gt;  g(W₁ ∪ {C'}) - g({C'})  = EMD({A,C'},)  -  EMD({C'},)  </t>
  </si>
  <si>
    <t xml:space="preserve">25)P(C'|A) x P(A'B'|BC)</t>
  </si>
  <si>
    <t xml:space="preserve">Probamos con u=u''=(C, B',A') --&gt;  g(W₁ ∪ {C,B',A'}) - g({C,B',A'}) = EMD({A,C,B',A'},) - EMD({C,B',A'},)  </t>
  </si>
  <si>
    <t xml:space="preserve">26)P(B'A'|AC) x P(C'|B)</t>
  </si>
  <si>
    <t xml:space="preserve"> P(A'B'|C) x P(C'|AB)</t>
  </si>
  <si>
    <t xml:space="preserve">v2= puede ser B o C', vamos a escoger a v2=B</t>
  </si>
  <si>
    <t xml:space="preserve">W2= W1 ∪ {B} ={ A, B}</t>
  </si>
  <si>
    <t xml:space="preserve">Para u  { C',  u''}</t>
  </si>
  <si>
    <t xml:space="preserve">Probamos con u= C'  --&gt;  g(W2 ∪ {C'}) - g({C'})  = EMD({A,B,C'},)  -  EMD({C'},)  </t>
  </si>
  <si>
    <t xml:space="preserve">27)P(C'|AB) x P(A'B'|C)</t>
  </si>
  <si>
    <t xml:space="preserve">7)</t>
  </si>
  <si>
    <t xml:space="preserve">Probamos con u=u''=(C,B',A') --&gt; g(W2 ∪ {C,B',A'})-g({C,B',A'})=EMD({A,B,C,B',A'},)-EMD({C,B',A'},)  </t>
  </si>
  <si>
    <t xml:space="preserve">28)P(B'A'|ABC) x P(C'|{})</t>
  </si>
  <si>
    <t xml:space="preserve"> P(B'A'|C) x P(C'|AB)</t>
  </si>
  <si>
    <t xml:space="preserve">v3= puede ser C' o u'', vamos a escoger a v3=C'</t>
  </si>
  <si>
    <t xml:space="preserve"> W3= W2 ∪ {C'} ={ A, B, C'}</t>
  </si>
  <si>
    <t xml:space="preserve">v4= u''  debido a que ya no hay mas opciones</t>
  </si>
  <si>
    <t xml:space="preserve">14)</t>
  </si>
  <si>
    <t xml:space="preserve">Al finalizar el ciclo externo tendríamos v1=A, v2=B, v3=C', v4=u''= (C,B',A')</t>
  </si>
  <si>
    <t xml:space="preserve">Luego de terminada la tercera iteración del  ciclo externo considerar lo siguiente para un par candidato (t,u):</t>
  </si>
  <si>
    <t xml:space="preserve">a) El conjunto {u} es una solucion del problema de minimización. Esto es, {u}= u''={C,B',A'} (último elemento del par candidato, es una solución del problema.</t>
  </si>
  <si>
    <t xml:space="preserve"> Eso significa que  llegaríamos a una partición  que sería {C,B',A'} | {A,B,C'}  y esta sería nuestra tercera partición candidata, que se arma dejando el ultimo elemento del par pendiente en un subconjunto (para este caso (CB'C') y los otros elementos en otro</t>
  </si>
  <si>
    <r>
      <rPr>
        <sz val="9"/>
        <color theme="1"/>
        <rFont val="Calibri"/>
        <family val="0"/>
        <charset val="134"/>
      </rPr>
      <t xml:space="preserve">b)El par candidato es  </t>
    </r>
    <r>
      <rPr>
        <b val="true"/>
        <sz val="9"/>
        <color theme="1"/>
        <rFont val="Calibri"/>
        <family val="0"/>
        <charset val="134"/>
      </rPr>
      <t xml:space="preserve">u'''= (v3,v4)= (C',A',C,B')</t>
    </r>
    <r>
      <rPr>
        <sz val="9"/>
        <color theme="1"/>
        <rFont val="Calibri"/>
        <family val="0"/>
        <charset val="134"/>
      </rPr>
      <t xml:space="preserve"> y lo incorporamos como un nuevo elemento ya que se construye un nuevo sistema submodular  y se inicia nuvamente el proceso.</t>
    </r>
  </si>
  <si>
    <t xml:space="preserve">entonces tendríamos V'''= {A, B, u'''} y el proceso vuelve a iniciar para V'''(nuestro nuevo conjunto V )</t>
  </si>
  <si>
    <t xml:space="preserve">8)</t>
  </si>
  <si>
    <t xml:space="preserve">17)</t>
  </si>
  <si>
    <t xml:space="preserve">23)</t>
  </si>
  <si>
    <t xml:space="preserve">Para u  { B, u'''}</t>
  </si>
  <si>
    <r>
      <rPr>
        <sz val="11"/>
        <color theme="1"/>
        <rFont val="Calibri"/>
        <family val="0"/>
        <charset val="134"/>
      </rPr>
      <t xml:space="preserve">A'C',C y B' </t>
    </r>
    <r>
      <rPr>
        <sz val="9"/>
        <color theme="1"/>
        <rFont val="Calibri"/>
        <family val="0"/>
        <charset val="134"/>
      </rPr>
      <t xml:space="preserve">no se tienen en cuenta individualmente  sino que se tienen en cuenta como un grupo, es decir deben ir todos juntos</t>
    </r>
  </si>
  <si>
    <t xml:space="preserve">       Probamos con u= B  --&gt;   g(W₁ ∪ {B}) - g({B})  = EMD({A,B},)  -  EMD({B},) </t>
  </si>
  <si>
    <t xml:space="preserve">   29) P({}|AB) x P(A'B'C'|C)</t>
  </si>
  <si>
    <t xml:space="preserve">       Probamos con u=u'''=(A',C, B',C') --&gt;  g(W₁ ∪ {A',C,B',C'}) - g({A',C,B',C'}) = EMD({A,A',C,B',C'},) - EMD({A',C,B',C'},)  </t>
  </si>
  <si>
    <t xml:space="preserve">  30)P(A'B'C'|AC) x P({}|B)</t>
  </si>
  <si>
    <t xml:space="preserve"> P(A'B'C'|C) x P({}|AB)</t>
  </si>
  <si>
    <t xml:space="preserve">       v2= puede ser B o u''', vamos a escoger  v2=B</t>
  </si>
  <si>
    <t xml:space="preserve">       W2= W1 ∪ {B} ={ A, B}</t>
  </si>
  <si>
    <t xml:space="preserve">v3= u'''  debido a que ya no hay mas opciones</t>
  </si>
  <si>
    <t xml:space="preserve">Al finalizar el ciclo externo tendríamos v1=A, v2=B, v3=u'''= (C,B',A',C')</t>
  </si>
  <si>
    <t xml:space="preserve">Luego de terminada la cuarta iteración del  ciclo externo considerar lo siguiente para  par  candidato (t,u)(este par correspone a los dos  últimos elementos que resultaron v3,v4):</t>
  </si>
  <si>
    <t xml:space="preserve">a) El conjunto {u} es una solucion del problema de minimización. Esto es, {u}= u'''={C,B',A',C'} (último elemento del par candidato, es una solución del problema.</t>
  </si>
  <si>
    <t xml:space="preserve">19)</t>
  </si>
  <si>
    <t xml:space="preserve"> Eso significa que  llegaríamos a una partición  que sería {C,B',A',C'} | {A,B}  y esta sería nuestra cuarta partición candidata, que se arma dejando el ultimo elemento del par candidato en un subconjunto (para este caso (C,B,'C',A') y los otros elementos en otro</t>
  </si>
  <si>
    <t xml:space="preserve">9)</t>
  </si>
  <si>
    <r>
      <rPr>
        <sz val="9"/>
        <color theme="1"/>
        <rFont val="Calibri"/>
        <family val="0"/>
        <charset val="134"/>
      </rPr>
      <t xml:space="preserve">b)El par candidato  es  </t>
    </r>
    <r>
      <rPr>
        <b val="true"/>
        <sz val="9"/>
        <color theme="1"/>
        <rFont val="Calibri"/>
        <family val="0"/>
        <charset val="134"/>
      </rPr>
      <t xml:space="preserve">u''''= (v2,v3)= (B,C',A',C,B')</t>
    </r>
    <r>
      <rPr>
        <sz val="9"/>
        <color theme="1"/>
        <rFont val="Calibri"/>
        <family val="0"/>
        <charset val="134"/>
      </rPr>
      <t xml:space="preserve"> y lo incorporamos como un nuevo elemento ya que se construye un nuevo sistema  y se inicia nuvamente el proceso.</t>
    </r>
  </si>
  <si>
    <t xml:space="preserve">entonces tendríamos V''''= {A, u''''}. Como solo quedan dos elementos, no necesitamos encontrar otro par candidato.</t>
  </si>
  <si>
    <t xml:space="preserve">   La última partición a considerar es {A} | {u''''} o  equivalentemente  {A} | {B,C',A',C,B'}</t>
  </si>
  <si>
    <t xml:space="preserve">Paso final. Se revisan las particiones:</t>
  </si>
  <si>
    <t xml:space="preserve">   A lo largo de este proceso, hemos generado las siguientes particiones candidatas:</t>
  </si>
  <si>
    <t xml:space="preserve">   Del primer ciclo {B'} y {A,B, C,A',C'}</t>
  </si>
  <si>
    <t xml:space="preserve">    Del  ciclo 2: {C,B'} y {A,B,A',C'}</t>
  </si>
  <si>
    <t xml:space="preserve">    Del ciclo 3: {C,B',A'} y {A,B,C'} </t>
  </si>
  <si>
    <t xml:space="preserve">20)</t>
  </si>
  <si>
    <t xml:space="preserve">    Del ciclo 4: {C,B',A',C'} y {A,B} </t>
  </si>
  <si>
    <t xml:space="preserve">10)</t>
  </si>
  <si>
    <t xml:space="preserve">    Del ciclo 5: {A} y {B,C',A',C,B'}</t>
  </si>
  <si>
    <t xml:space="preserve">-  Se calcula f(M) para cada una de las particiones anteriores.</t>
  </si>
  <si>
    <t xml:space="preserve">*</t>
  </si>
  <si>
    <t xml:space="preserve">31) P({}|A) x P(A'B'C'|BC)</t>
  </si>
  <si>
    <t xml:space="preserve">.</t>
  </si>
  <si>
    <t xml:space="preserve">11)</t>
  </si>
  <si>
    <t xml:space="preserve">P(A'C'|AB) x P(B'|C)</t>
  </si>
  <si>
    <r>
      <rPr>
        <sz val="11"/>
        <color theme="1"/>
        <rFont val="Calibri"/>
        <family val="0"/>
        <charset val="134"/>
      </rPr>
      <t xml:space="preserve">-</t>
    </r>
    <r>
      <rPr>
        <sz val="7"/>
        <color theme="1"/>
        <rFont val="Times New Roman"/>
        <family val="0"/>
        <charset val="134"/>
      </rPr>
      <t xml:space="preserve">  </t>
    </r>
    <r>
      <rPr>
        <sz val="11"/>
        <color theme="1"/>
        <rFont val="Calibri"/>
        <family val="0"/>
        <charset val="134"/>
      </rPr>
      <t xml:space="preserve">Seleccionar la partición con el valor mínimo de f(M) *.</t>
    </r>
  </si>
  <si>
    <t xml:space="preserve">Esto significaria que el sistema pierde mas quitando solo A</t>
  </si>
  <si>
    <t xml:space="preserve">que eliminando las conexiones AB' y CA'</t>
  </si>
  <si>
    <t xml:space="preserve">26)</t>
  </si>
  <si>
    <t xml:space="preserve">12)</t>
  </si>
  <si>
    <t xml:space="preserve">31)</t>
  </si>
  <si>
    <t xml:space="preserve">Esto lo hacemos para calcular P(V) es decir P(ABC|BC)</t>
  </si>
  <si>
    <t xml:space="preserve">E. futuro</t>
  </si>
  <si>
    <t xml:space="preserve">E. actual</t>
  </si>
  <si>
    <t xml:space="preserve">EMD(S,V)= </t>
  </si>
  <si>
    <t xml:space="preserve">Sistema sin partir</t>
  </si>
  <si>
    <t xml:space="preserve">Esta EMD= 0 por identidad de los indiscernibles</t>
  </si>
  <si>
    <t xml:space="preserve">Del documento "Fast and Robust Earth Mover's Distances.",</t>
  </si>
  <si>
    <t xml:space="preserve"> la EMD tiene las siguientes propiedades:</t>
  </si>
  <si>
    <t xml:space="preserve">Simetría: EMD(p,q) = EMD(q,p)</t>
  </si>
  <si>
    <t xml:space="preserve">No negatividad: EMD(p,q) ≥ 0</t>
  </si>
  <si>
    <t xml:space="preserve">Identidad de los indiscernibles: EMD(p,q) = 0 si y solo si p = q</t>
  </si>
  <si>
    <t xml:space="preserve">Desigualdad triangular: EMD(p,r) ≤ EMD(p,q) + EMD(q,r)</t>
  </si>
  <si>
    <t xml:space="preserve">Definición: Las variables X1,X2,…,Xn se dice que son independientes si para todo subconjunto  Xi1,Xi2,..,Xik de las variables (cada par, cada tripleta y asi sucesivamente) la pmf conjunta  del subconjunto es igual al producto de las marginales de las pmf.</t>
  </si>
  <si>
    <t xml:space="preserve">Una vez que decimos que n variables son independientes entonces la pmf conjynta es el producto de las n marginales</t>
  </si>
  <si>
    <t xml:space="preserve">Por el otro lado tenemos:</t>
  </si>
  <si>
    <t xml:space="preserve">f(Y) = </t>
  </si>
  <si>
    <t xml:space="preserve">EMD(P(At+1Ct+1|AtBt) ⊗ P(Bt+1|Ct), P(At+1Bt+1Ct+1|AtBtCt=100) )</t>
  </si>
  <si>
    <t xml:space="preserve">por la independencia condicional, Ya que A,B,C son independientes condicionalmente</t>
  </si>
  <si>
    <t xml:space="preserve">EMD(P(At+1|AtBt=10) ⊗ P(Ct+1|AtBt=10) ⊗ P(Bt+1|Ct=0), P(At+1|AtBtCt=100) ⊗ P(Bt+1|AtBtCt=100) ⊗ P(Ct+1|AtBtCt=100))</t>
  </si>
  <si>
    <t xml:space="preserve">por el teorema anlítico</t>
  </si>
  <si>
    <t xml:space="preserve">F(Y)=</t>
  </si>
  <si>
    <t xml:space="preserve">EMD(P(At+1|AtBt=10), P(At+1|AtBtCt=100)) + EMD(P(Bt+1|Ct=0), P(Bt+1|AtBtCt=100)) + EMD(P(Ct+1|AtBt=10), P(Ct+1|AtBtCt=100))</t>
  </si>
  <si>
    <t xml:space="preserve">Ahora revisemos </t>
  </si>
  <si>
    <t xml:space="preserve">f(Y∪{z}) =</t>
  </si>
  <si>
    <t xml:space="preserve">EMD(P(At+1Ct+1|AtBtCt) ⊗ P(Bt+1|{}), P(At+1Bt+1Ct+1|AtBtCt=100) )</t>
  </si>
  <si>
    <r>
      <rPr>
        <sz val="11"/>
        <color theme="1"/>
        <rFont val="Calibri"/>
        <family val="0"/>
        <charset val="134"/>
      </rPr>
      <t xml:space="preserve">EMD(P(At+1Ct+1|AtBt=10) U Ct) ⊗ P(At+1Ct+1|AtBt) U Ct)</t>
    </r>
    <r>
      <rPr>
        <b val="true"/>
        <sz val="14"/>
        <color theme="1"/>
        <rFont val="Calibri"/>
        <family val="0"/>
        <charset val="134"/>
      </rPr>
      <t xml:space="preserve">'</t>
    </r>
    <r>
      <rPr>
        <sz val="11"/>
        <color theme="1"/>
        <rFont val="Calibri"/>
        <family val="0"/>
        <charset val="134"/>
      </rPr>
      <t xml:space="preserve">, P(At+1Bt+1Ct+1|AtBtCt=100) )</t>
    </r>
  </si>
  <si>
    <t xml:space="preserve">Ahora f(Y∪{z}):</t>
  </si>
  <si>
    <t xml:space="preserve"> EMD(P(At+1Ct+1|AtBtCt=100) ⊗ P(Bt+1|{}), P(At+1|AtBtCt=100) ⊗ P(Bt+1|AtBtCt=100) ⊗ P(Ct+1|AtBtCt=100))</t>
  </si>
  <si>
    <t xml:space="preserve">EMD(P(At+1|AtBtCt=100), P(At+1|AtBtCt=100)) + EMD(P(Bt+1|{}), P(Bt+1|AtBtCt=100)) + EMD(P(Ct+1|AtBtCt=100), P(Ct+1|AtBtCt=100))</t>
  </si>
  <si>
    <t xml:space="preserve">por la identidad de los indiscernibles</t>
  </si>
  <si>
    <t xml:space="preserve">0  + EMD(P(Bt+1|{}), P(Bt+1|AtBtCt)) + 0</t>
  </si>
  <si>
    <t xml:space="preserve">f(Y∪{z}) - f(Y) = </t>
  </si>
  <si>
    <t xml:space="preserve"> EMD(P(Bt+1|{}), P(Bt+1|AtBtCt=100)) - EMD(P(At+1|AtBt=10), P(At+1|AtBtCt=100))- EMD(P(Bt+1|Ct=0), P(Bt+1|AtBtCt=100)) - EMD(P(Ct+1|AtBt=10), P(Ct+1|AtBtCt=100))</t>
  </si>
  <si>
    <r>
      <rPr>
        <sz val="11"/>
        <color theme="1"/>
        <rFont val="Calibri"/>
        <family val="0"/>
        <charset val="134"/>
      </rPr>
      <t xml:space="preserve">EMD(P(At+1|{}), P(At+1|AtBtCt=100)) - EMD(P(At+1|Ct), P(At+1|AtBtCt=100)) + </t>
    </r>
    <r>
      <rPr>
        <strike val="true"/>
        <sz val="11"/>
        <color theme="1"/>
        <rFont val="Calibri"/>
        <family val="0"/>
        <charset val="134"/>
      </rPr>
      <t xml:space="preserve">EMD(P(Bt+1|{}), P(Bt+1|AtBtCt=100))</t>
    </r>
    <r>
      <rPr>
        <sz val="11"/>
        <color theme="1"/>
        <rFont val="Calibri"/>
        <family val="0"/>
        <charset val="134"/>
      </rPr>
      <t xml:space="preserve"> - </t>
    </r>
    <r>
      <rPr>
        <strike val="true"/>
        <sz val="11"/>
        <color theme="1"/>
        <rFont val="Calibri"/>
        <family val="0"/>
        <charset val="134"/>
      </rPr>
      <t xml:space="preserve">EMD(P(Bt+1|Ct), P(Bt+1|AtBtCt=100))</t>
    </r>
    <r>
      <rPr>
        <sz val="11"/>
        <color theme="1"/>
        <rFont val="Calibri"/>
        <family val="0"/>
        <charset val="134"/>
      </rPr>
      <t xml:space="preserve"> - </t>
    </r>
    <r>
      <rPr>
        <strike val="true"/>
        <sz val="11"/>
        <color theme="1"/>
        <rFont val="Calibri"/>
        <family val="0"/>
        <charset val="134"/>
      </rPr>
      <t xml:space="preserve">EMD(P(Ct+1|AtBt), P(Ct+1|AtBtCt=100))</t>
    </r>
    <r>
      <rPr>
        <sz val="11"/>
        <color theme="1"/>
        <rFont val="Calibri"/>
        <family val="0"/>
        <charset val="134"/>
      </rPr>
      <t xml:space="preserve">  ≥ </t>
    </r>
    <r>
      <rPr>
        <strike val="true"/>
        <sz val="11"/>
        <color theme="1"/>
        <rFont val="Calibri"/>
        <family val="0"/>
        <charset val="134"/>
      </rPr>
      <t xml:space="preserve"> EMD(P(Bt+1|{}), P(Bt+1|AtBtCt=100))</t>
    </r>
    <r>
      <rPr>
        <sz val="11"/>
        <color theme="1"/>
        <rFont val="Calibri"/>
        <family val="0"/>
        <charset val="134"/>
      </rPr>
      <t xml:space="preserve"> - EMD(P(At+1|AtBt=10), P(At+1|AtBtCt=100))- </t>
    </r>
    <r>
      <rPr>
        <strike val="true"/>
        <sz val="11"/>
        <color theme="1"/>
        <rFont val="Calibri"/>
        <family val="0"/>
        <charset val="134"/>
      </rPr>
      <t xml:space="preserve">EMD(P(Bt+1|Ct=0), P(Bt+1|AtBtCt=100))</t>
    </r>
    <r>
      <rPr>
        <sz val="11"/>
        <color theme="1"/>
        <rFont val="Calibri"/>
        <family val="0"/>
        <charset val="134"/>
      </rPr>
      <t xml:space="preserve"> -</t>
    </r>
    <r>
      <rPr>
        <strike val="true"/>
        <sz val="11"/>
        <color theme="1"/>
        <rFont val="Calibri"/>
        <family val="0"/>
        <charset val="134"/>
      </rPr>
      <t xml:space="preserve"> EMD(P(Ct+1|AtBt=10), P(Ct+1|AtBtCt=100))</t>
    </r>
  </si>
  <si>
    <t xml:space="preserve">EMD(P(At+1|{}), P(At+1|AtBtCt=100)) - EMD(P(At+1|Ct), P(At+1|AtBtCt=100)) + EMD(P(At+1|AtBt), P(At+1|AtBtCt=100)) ≥ 0</t>
  </si>
  <si>
    <t xml:space="preserve">EMD(P(At+1|{}), P(At+1|AtBtCt=100))  + EMD(P(At+1|AtBtCt=100), P(At+1|AtBt)) - EMD(P(At+1|Ct), P(At+1|AtBtCt=100)) ≥ 0</t>
  </si>
  <si>
    <t xml:space="preserve">⇒</t>
  </si>
  <si>
    <t xml:space="preserve">EMD(P(At+1|{}), P(At+1|AtBtCt=100))  + EMD(P(At+1|AtBtCt=100), P(At+1|AtBt))  ≥  EMD(P(At+1|Ct), P(At+1|AtBtCt=100))</t>
  </si>
  <si>
    <r>
      <rPr>
        <sz val="11"/>
        <color theme="1"/>
        <rFont val="Calibri"/>
        <family val="0"/>
        <charset val="134"/>
      </rPr>
      <t xml:space="preserve">P(At+1|{}= (∑_</t>
    </r>
    <r>
      <rPr>
        <vertAlign val="subscript"/>
        <sz val="11"/>
        <color theme="1"/>
        <rFont val="Calibri"/>
        <family val="0"/>
        <charset val="134"/>
      </rPr>
      <t xml:space="preserve">AtBtCt</t>
    </r>
    <r>
      <rPr>
        <sz val="11"/>
        <color theme="1"/>
        <rFont val="Calibri"/>
        <family val="0"/>
        <charset val="134"/>
      </rPr>
      <t xml:space="preserve"> P(At+1|AtBtCt)P</t>
    </r>
    <r>
      <rPr>
        <vertAlign val="subscript"/>
        <sz val="11"/>
        <color theme="1"/>
        <rFont val="Calibri"/>
        <family val="0"/>
        <charset val="134"/>
      </rPr>
      <t xml:space="preserve">per</t>
    </r>
    <r>
      <rPr>
        <sz val="11"/>
        <color theme="1"/>
        <rFont val="Calibri"/>
        <family val="0"/>
        <charset val="134"/>
      </rPr>
      <t xml:space="preserve">(AtBtCt)</t>
    </r>
  </si>
  <si>
    <t xml:space="preserve">≥EMD(P(At+1|Ct), P(At+1|AtBtCt=100)</t>
  </si>
  <si>
    <t xml:space="preserve">P(At+1|AtBtCt)= P(At+1|AtBtCt)</t>
  </si>
  <si>
    <r>
      <rPr>
        <sz val="11"/>
        <color theme="1"/>
        <rFont val="Calibri"/>
        <family val="0"/>
        <charset val="134"/>
      </rPr>
      <t xml:space="preserve">P(At+1|AtBt)=∑_</t>
    </r>
    <r>
      <rPr>
        <vertAlign val="subscript"/>
        <sz val="11"/>
        <color theme="1"/>
        <rFont val="Calibri"/>
        <family val="0"/>
        <charset val="134"/>
      </rPr>
      <t xml:space="preserve">Ct</t>
    </r>
    <r>
      <rPr>
        <sz val="11"/>
        <color theme="1"/>
        <rFont val="Calibri"/>
        <family val="0"/>
        <charset val="134"/>
      </rPr>
      <t xml:space="preserve"> P(At+1|AtBt,Ct)P</t>
    </r>
    <r>
      <rPr>
        <vertAlign val="subscript"/>
        <sz val="11"/>
        <color theme="1"/>
        <rFont val="Calibri"/>
        <family val="0"/>
        <charset val="134"/>
      </rPr>
      <t xml:space="preserve">per</t>
    </r>
    <r>
      <rPr>
        <sz val="11"/>
        <color theme="1"/>
        <rFont val="Calibri"/>
        <family val="0"/>
        <charset val="134"/>
      </rPr>
      <t xml:space="preserve">(Ct) </t>
    </r>
  </si>
  <si>
    <r>
      <rPr>
        <sz val="11"/>
        <color theme="1"/>
        <rFont val="Calibri"/>
        <family val="0"/>
        <charset val="134"/>
      </rPr>
      <t xml:space="preserve">P(At+1|Ct= (∑_</t>
    </r>
    <r>
      <rPr>
        <vertAlign val="subscript"/>
        <sz val="11"/>
        <color theme="1"/>
        <rFont val="Calibri"/>
        <family val="0"/>
        <charset val="134"/>
      </rPr>
      <t xml:space="preserve">AtBt</t>
    </r>
    <r>
      <rPr>
        <sz val="11"/>
        <color theme="1"/>
        <rFont val="Calibri"/>
        <family val="0"/>
        <charset val="134"/>
      </rPr>
      <t xml:space="preserve"> P(At+1|Ct,AtBt)P</t>
    </r>
    <r>
      <rPr>
        <vertAlign val="subscript"/>
        <sz val="11"/>
        <color theme="1"/>
        <rFont val="Calibri"/>
        <family val="0"/>
        <charset val="134"/>
      </rPr>
      <t xml:space="preserve">per</t>
    </r>
    <r>
      <rPr>
        <sz val="11"/>
        <color theme="1"/>
        <rFont val="Calibri"/>
        <family val="0"/>
        <charset val="134"/>
      </rPr>
      <t xml:space="preserve">(AtBt)</t>
    </r>
  </si>
  <si>
    <t xml:space="preserve">Por desigualdad triangular</t>
  </si>
  <si>
    <t xml:space="preserve"> EMD(P(At+1|AtBt),P(At+1|AtBtCt=100)) + EMD(P(At+1|AtBtCt=100),P(At+1|{}) )   ≥ EMD(P(At+1|AtBt),P(At+1|{}))</t>
  </si>
  <si>
    <t xml:space="preserve">E. Actual</t>
  </si>
  <si>
    <t xml:space="preserve">Algoritmo Qnodes</t>
  </si>
  <si>
    <t xml:space="preserve">V= {A,B, C, A', C'}</t>
  </si>
  <si>
    <t xml:space="preserve">De esta matriz  grande </t>
  </si>
  <si>
    <t xml:space="preserve">se derivan las pequeñas</t>
  </si>
  <si>
    <t xml:space="preserve">Recordar que  g= EMD por tanto debe tener dos argumentos,el primero hace alusion al sistema</t>
  </si>
  <si>
    <t xml:space="preserve">partido y el segundo hace alusion al sistema completo. La EMD se hace sobre distribuciones de probabilidades </t>
  </si>
  <si>
    <t xml:space="preserve">por eso, por ejemplo g({B}) requiere calcular distribuciones de probabilidades, como se muestra en RE1 y RE2</t>
  </si>
  <si>
    <t xml:space="preserve">1) </t>
  </si>
  <si>
    <t xml:space="preserve">Para u  { B, C, A', C'}</t>
  </si>
  <si>
    <t xml:space="preserve">1) P({}|AB) x P(A'C'|C)</t>
  </si>
  <si>
    <t xml:space="preserve">ABCA'C'</t>
  </si>
  <si>
    <t xml:space="preserve"> P({}|B) x P(A'C'|AC)</t>
  </si>
  <si>
    <t xml:space="preserve">2)P({}|AC) x P(A'C'|B)</t>
  </si>
  <si>
    <t xml:space="preserve"> P({}|C) x P(A'C'|AB)</t>
  </si>
  <si>
    <t xml:space="preserve">3)P(A'|A) x P(C'|BC)</t>
  </si>
  <si>
    <t xml:space="preserve"> P(A'|{}) x P(C'|ABC)</t>
  </si>
  <si>
    <t xml:space="preserve">4)P(C'|A) x P(A'|BC)</t>
  </si>
  <si>
    <t xml:space="preserve"> P(C'|{}) x P(A'|ABC)</t>
  </si>
  <si>
    <t xml:space="preserve">P(AC|ABC)</t>
  </si>
  <si>
    <t xml:space="preserve"> =</t>
  </si>
  <si>
    <t xml:space="preserve">P(A|ABC) x P(C|ABC)</t>
  </si>
  <si>
    <t xml:space="preserve">Para u  { C, A',  C'}</t>
  </si>
  <si>
    <t xml:space="preserve">5)P({}|ABC) x P(A'C'|{})</t>
  </si>
  <si>
    <t xml:space="preserve">6)P(A'|AB) x P(C'|C)</t>
  </si>
  <si>
    <t xml:space="preserve">7)P(C'|AB) x P(A'|C)</t>
  </si>
  <si>
    <t xml:space="preserve">Para u  { C, A'}</t>
  </si>
  <si>
    <t xml:space="preserve">8) P(C'|ABC) x P(A'|{})</t>
  </si>
  <si>
    <t xml:space="preserve">9)P(A'C'|AB) x P({}|C)</t>
  </si>
  <si>
    <t xml:space="preserve">v5= C debido a que ya no hay mas opciones</t>
  </si>
  <si>
    <t xml:space="preserve">Al finalizar el ciclo externo tendríamos v1=A, v2=B, v3=C' v4=A' v5=C.</t>
  </si>
  <si>
    <t xml:space="preserve">Luego de terminada la primera iteracion  los dos ultimos (v4=A',v5=C) son un par candidato</t>
  </si>
  <si>
    <t xml:space="preserve">El último elemento del par pendiente(v5=C), es una solución del problema. Esto es,  {C} | {A,B, A',C'}  sería nuestra primera partición candidata.</t>
  </si>
  <si>
    <r>
      <rPr>
        <sz val="9"/>
        <color theme="1"/>
        <rFont val="Calibri"/>
        <family val="0"/>
        <charset val="134"/>
      </rPr>
      <t xml:space="preserve">El par pendient  </t>
    </r>
    <r>
      <rPr>
        <b val="true"/>
        <sz val="9"/>
        <color theme="1"/>
        <rFont val="Calibri"/>
        <family val="0"/>
        <charset val="134"/>
      </rPr>
      <t xml:space="preserve">u'= (v4,v5)= (A',C)</t>
    </r>
    <r>
      <rPr>
        <sz val="9"/>
        <color theme="1"/>
        <rFont val="Calibri"/>
        <family val="0"/>
        <charset val="134"/>
      </rPr>
      <t xml:space="preserve"> se agrega como un nuevo elemento y se procede a la siguiente iteración</t>
    </r>
  </si>
  <si>
    <t xml:space="preserve">Siguiente iteracion  V'= {A, B, C', u'} y el proceso vuelve a iniciar para V'</t>
  </si>
  <si>
    <t xml:space="preserve">Para u  { B, C', u'} </t>
  </si>
  <si>
    <t xml:space="preserve">Probamos con u= B             --&gt;g(W₁ ∪ {B}) - g({B})        = EMD({A,B},)  -  EMD({B},) </t>
  </si>
  <si>
    <t xml:space="preserve">10) P({}|AB) x P(A'C'|C)</t>
  </si>
  <si>
    <t xml:space="preserve">Probamos con u= C'             --&gt;g(W₁ ∪ {C'}) - g({C'})     = EMD({A,C'},)  -  EMD({C'},)  </t>
  </si>
  <si>
    <t xml:space="preserve">11)P(C'|A) x P(A'|BC)</t>
  </si>
  <si>
    <t xml:space="preserve">Probamos con u=u'=(A',C)  --&gt;g(W₁ ∪ {A',C})- g({A',C})=EMD({A,A',C},) -EMD({A',C},)  </t>
  </si>
  <si>
    <t xml:space="preserve">12)P(A'|AC) x P(C'|B)</t>
  </si>
  <si>
    <t xml:space="preserve"> P(A'|C) x P(C'|AB)</t>
  </si>
  <si>
    <t xml:space="preserve">v2=B</t>
  </si>
  <si>
    <t xml:space="preserve">W2= W1 U{B}={A,B}</t>
  </si>
  <si>
    <t xml:space="preserve">Para u  { C', u'}</t>
  </si>
  <si>
    <t xml:space="preserve">Probamos con u= C'          --&gt;   g(W2 ∪ {C'}) - g({C'})  = EMD({A,B,C'},)  -  EMD({C'},)  </t>
  </si>
  <si>
    <t xml:space="preserve">13)P(C'|AB) x P(A'|C)</t>
  </si>
  <si>
    <t xml:space="preserve">Probamos con u=u'=(A',C) --&gt;g(W2∪{A',C})-g({A',C})= EMD({A,B,A',C},)-EMD({A',C},)  </t>
  </si>
  <si>
    <t xml:space="preserve">14)P(A'|ABC) x P(C'|{})</t>
  </si>
  <si>
    <t xml:space="preserve">v3= C'</t>
  </si>
  <si>
    <t xml:space="preserve">W3= W2 U{C'}={A,B,C'}</t>
  </si>
  <si>
    <t xml:space="preserve">v4= u'= {A',C} debido a que ya no hay mas opciones</t>
  </si>
  <si>
    <t xml:space="preserve">Al finalizar el ciclo externo tendríamos v1=A, v2=B, v3=C' v4={A' ,C}.</t>
  </si>
  <si>
    <t xml:space="preserve">Luego de terminada la segunda iteracion  los dos ultimos (v3=C',v4={A',C}) son un par candidato </t>
  </si>
  <si>
    <t xml:space="preserve">El último elemento del par pendiente(v4={A',C}), es una solución del problema. Esto es,  {A',C} | {A,B,C'}  sería nuestra segunda partición candidata.</t>
  </si>
  <si>
    <r>
      <rPr>
        <sz val="9"/>
        <color theme="1"/>
        <rFont val="Calibri"/>
        <family val="0"/>
        <charset val="134"/>
      </rPr>
      <t xml:space="preserve">El par pendient  </t>
    </r>
    <r>
      <rPr>
        <b val="true"/>
        <sz val="9"/>
        <color theme="1"/>
        <rFont val="Calibri"/>
        <family val="0"/>
        <charset val="134"/>
      </rPr>
      <t xml:space="preserve">u''= (v3,v4)= (C',A',C)</t>
    </r>
    <r>
      <rPr>
        <sz val="9"/>
        <color theme="1"/>
        <rFont val="Calibri"/>
        <family val="0"/>
        <charset val="134"/>
      </rPr>
      <t xml:space="preserve"> se agrega como un nuevo elemento y se procede a la siguiente iteración</t>
    </r>
  </si>
  <si>
    <t xml:space="preserve">Siguiente iteracion  V''= {A, B, u''} y el proceso vuelve a iniciar para V''</t>
  </si>
  <si>
    <t xml:space="preserve">Para u  { B, u''} </t>
  </si>
  <si>
    <t xml:space="preserve">Probamos con u= B                  --&gt;g(W₁ ∪ {B}) - g({B})        = EMD({A,B},)  -  EMD({B},) </t>
  </si>
  <si>
    <t xml:space="preserve">15) P({}|AB) x P(A'C'|C)</t>
  </si>
  <si>
    <t xml:space="preserve">Probamos con u=u''=(C',A',C)  --&gt;g(W₁∪{C',A',C})-g({C',A',C})=EMD({A,C',A',C},)-EMD({C',A',C},)  </t>
  </si>
  <si>
    <t xml:space="preserve">16)P(A'|AC) x P(C'|B)</t>
  </si>
  <si>
    <t xml:space="preserve">v2= B</t>
  </si>
  <si>
    <t xml:space="preserve">W2= W2 U{B}={A,B}</t>
  </si>
  <si>
    <t xml:space="preserve">v3= u''= {C',A',C} debido a que ya no hay mas opciones</t>
  </si>
  <si>
    <t xml:space="preserve">Al finalizar el ciclo externo tendríamos v1=A, v2=B, v3={C',A' ,C}.</t>
  </si>
  <si>
    <t xml:space="preserve">Luego de terminada la tercera iteracion  los dos ultimos (v2=B,v3={C',A',C}) son un par candidato</t>
  </si>
  <si>
    <t xml:space="preserve">El último elemento del par pendiente(v3={C',A',C}), es una solución del problema. Esto es,  {A',C,C'} | {A,B}  sería nuestra terceraa partición candidata.</t>
  </si>
  <si>
    <r>
      <rPr>
        <sz val="9"/>
        <color theme="1"/>
        <rFont val="Calibri"/>
        <family val="0"/>
        <charset val="134"/>
      </rPr>
      <t xml:space="preserve">El par pendient  </t>
    </r>
    <r>
      <rPr>
        <b val="true"/>
        <sz val="9"/>
        <color theme="1"/>
        <rFont val="Calibri"/>
        <family val="0"/>
        <charset val="134"/>
      </rPr>
      <t xml:space="preserve">u'''= (v2,v3)= (B,C',A',C)</t>
    </r>
    <r>
      <rPr>
        <sz val="9"/>
        <color theme="1"/>
        <rFont val="Calibri"/>
        <family val="0"/>
        <charset val="134"/>
      </rPr>
      <t xml:space="preserve"> se agrega como un nuevo elemento y se procede a la siguiente iteración</t>
    </r>
  </si>
  <si>
    <t xml:space="preserve">Siguiente iteracion  V'''= {A, u'''}.  Como solo quedan dos elementos, no necesitamos encontrar otro par pendiente.</t>
  </si>
  <si>
    <t xml:space="preserve">La última partición a considerar es {A} | {u''''} o  equivalentemente  {A} | {B,C',A',C}</t>
  </si>
  <si>
    <t xml:space="preserve">   Del primer ciclo {C} | {A,B, A',C'}</t>
  </si>
  <si>
    <t xml:space="preserve">    Del  ciclo 2: {A',C} | {A,B,C'}</t>
  </si>
  <si>
    <t xml:space="preserve">    Del ciclo 3:  {A',C,C'} | {A,B} </t>
  </si>
  <si>
    <t xml:space="preserve">    Del ciclo 4: {A} | {B,C',A',C}</t>
  </si>
  <si>
    <t xml:space="preserve"> P({}| C) x P(A'C'|AB)</t>
  </si>
  <si>
    <t xml:space="preserve"> P(A'C'|C) x P({}|AB)</t>
  </si>
  <si>
    <t xml:space="preserve">P({}|A) x P(A'C'|BC)</t>
  </si>
  <si>
    <t xml:space="preserve">Diferentes representaciones de los datos</t>
  </si>
  <si>
    <t xml:space="preserve">RED 3N</t>
  </si>
  <si>
    <t xml:space="preserve">RED 4N</t>
  </si>
  <si>
    <t xml:space="preserve">RED 5N</t>
  </si>
</sst>
</file>

<file path=xl/styles.xml><?xml version="1.0" encoding="utf-8"?>
<styleSheet xmlns="http://schemas.openxmlformats.org/spreadsheetml/2006/main">
  <numFmts count="4">
    <numFmt numFmtId="164" formatCode="General"/>
    <numFmt numFmtId="165" formatCode="0.00"/>
    <numFmt numFmtId="166" formatCode="General"/>
    <numFmt numFmtId="167" formatCode="0.0000"/>
  </numFmts>
  <fonts count="34">
    <font>
      <sz val="11"/>
      <color theme="1"/>
      <name val="Calibri"/>
      <family val="0"/>
      <charset val="134"/>
    </font>
    <font>
      <sz val="10"/>
      <name val="Arial"/>
      <family val="0"/>
    </font>
    <font>
      <sz val="10"/>
      <name val="Arial"/>
      <family val="0"/>
    </font>
    <font>
      <sz val="10"/>
      <name val="Arial"/>
      <family val="0"/>
    </font>
    <font>
      <sz val="11"/>
      <color theme="1"/>
      <name val="Cambria Math"/>
      <family val="0"/>
      <charset val="134"/>
    </font>
    <font>
      <b val="true"/>
      <sz val="11"/>
      <color theme="1"/>
      <name val="Calibri"/>
      <family val="0"/>
      <charset val="134"/>
    </font>
    <font>
      <b val="true"/>
      <sz val="14"/>
      <color theme="1"/>
      <name val="Calibri"/>
      <family val="0"/>
      <charset val="134"/>
    </font>
    <font>
      <sz val="9"/>
      <color theme="1"/>
      <name val="Calibri"/>
      <family val="0"/>
      <charset val="134"/>
    </font>
    <font>
      <b val="true"/>
      <sz val="20"/>
      <color theme="1"/>
      <name val="Calibri"/>
      <family val="0"/>
      <charset val="134"/>
    </font>
    <font>
      <b val="true"/>
      <sz val="13"/>
      <color theme="1"/>
      <name val="Calibri"/>
      <family val="0"/>
      <charset val="134"/>
    </font>
    <font>
      <sz val="11"/>
      <color rgb="FF3F3F76"/>
      <name val="Calibri"/>
      <family val="0"/>
      <charset val="134"/>
    </font>
    <font>
      <sz val="11"/>
      <name val="Calibri"/>
      <family val="0"/>
      <charset val="134"/>
    </font>
    <font>
      <sz val="11"/>
      <color rgb="FF9C5700"/>
      <name val="Calibri"/>
      <family val="0"/>
      <charset val="134"/>
    </font>
    <font>
      <sz val="11"/>
      <color rgb="FF006100"/>
      <name val="Calibri"/>
      <family val="0"/>
      <charset val="134"/>
    </font>
    <font>
      <b val="true"/>
      <sz val="18"/>
      <color theme="1"/>
      <name val="Calibri"/>
      <family val="0"/>
      <charset val="134"/>
    </font>
    <font>
      <sz val="11"/>
      <color theme="9"/>
      <name val="Calibri"/>
      <family val="0"/>
      <charset val="134"/>
    </font>
    <font>
      <sz val="11"/>
      <color theme="8" tint="-0.25"/>
      <name val="Calibri"/>
      <family val="0"/>
      <charset val="134"/>
    </font>
    <font>
      <b val="true"/>
      <sz val="11"/>
      <color theme="5" tint="-0.25"/>
      <name val="Calibri"/>
      <family val="0"/>
      <charset val="134"/>
    </font>
    <font>
      <sz val="14"/>
      <color theme="1"/>
      <name val="Calibri"/>
      <family val="0"/>
      <charset val="134"/>
    </font>
    <font>
      <b val="true"/>
      <sz val="11"/>
      <color theme="8" tint="-0.25"/>
      <name val="Calibri"/>
      <family val="0"/>
      <charset val="134"/>
    </font>
    <font>
      <b val="true"/>
      <sz val="11"/>
      <color rgb="FF00428C"/>
      <name val="Calibri"/>
      <family val="0"/>
      <charset val="134"/>
    </font>
    <font>
      <b val="true"/>
      <sz val="11"/>
      <color theme="9"/>
      <name val="Calibri"/>
      <family val="0"/>
      <charset val="134"/>
    </font>
    <font>
      <b val="true"/>
      <sz val="11"/>
      <color rgb="FFC00000"/>
      <name val="Calibri"/>
      <family val="0"/>
      <charset val="134"/>
    </font>
    <font>
      <sz val="8"/>
      <color theme="1"/>
      <name val="Calibri"/>
      <family val="0"/>
      <charset val="134"/>
    </font>
    <font>
      <b val="true"/>
      <sz val="9"/>
      <color theme="1"/>
      <name val="Calibri"/>
      <family val="0"/>
      <charset val="134"/>
    </font>
    <font>
      <sz val="11"/>
      <color theme="4"/>
      <name val="Calibri"/>
      <family val="0"/>
      <charset val="134"/>
    </font>
    <font>
      <sz val="7"/>
      <color theme="1"/>
      <name val="Times New Roman"/>
      <family val="0"/>
      <charset val="134"/>
    </font>
    <font>
      <b val="true"/>
      <sz val="24"/>
      <color theme="1"/>
      <name val="Calibri"/>
      <family val="0"/>
      <charset val="134"/>
    </font>
    <font>
      <b val="true"/>
      <sz val="16"/>
      <color theme="1"/>
      <name val="Calibri"/>
      <family val="0"/>
      <charset val="134"/>
    </font>
    <font>
      <sz val="9"/>
      <color rgb="FF3D3929"/>
      <name val="Segoe UI"/>
      <family val="0"/>
      <charset val="134"/>
    </font>
    <font>
      <strike val="true"/>
      <sz val="11"/>
      <color theme="1"/>
      <name val="Calibri"/>
      <family val="0"/>
      <charset val="134"/>
    </font>
    <font>
      <vertAlign val="subscript"/>
      <sz val="11"/>
      <color theme="1"/>
      <name val="Calibri"/>
      <family val="0"/>
      <charset val="134"/>
    </font>
    <font>
      <sz val="10"/>
      <name val="Arial"/>
      <family val="2"/>
    </font>
    <font>
      <sz val="9"/>
      <name val="Tahoma"/>
      <family val="0"/>
      <charset val="134"/>
    </font>
  </fonts>
  <fills count="25">
    <fill>
      <patternFill patternType="none"/>
    </fill>
    <fill>
      <patternFill patternType="gray125"/>
    </fill>
    <fill>
      <patternFill patternType="solid">
        <fgColor rgb="FFFFCC99"/>
        <bgColor rgb="FFF8CBAD"/>
      </patternFill>
    </fill>
    <fill>
      <patternFill patternType="solid">
        <fgColor rgb="FFFFEB9C"/>
        <bgColor rgb="FFFFF2CC"/>
      </patternFill>
    </fill>
    <fill>
      <patternFill patternType="solid">
        <fgColor rgb="FFC6EFCE"/>
        <bgColor rgb="FFE2F0D9"/>
      </patternFill>
    </fill>
    <fill>
      <patternFill patternType="solid">
        <fgColor theme="0" tint="-0.35"/>
        <bgColor rgb="FFADB9CA"/>
      </patternFill>
    </fill>
    <fill>
      <patternFill patternType="solid">
        <fgColor theme="0" tint="-0.05"/>
        <bgColor rgb="FFE2F0D9"/>
      </patternFill>
    </fill>
    <fill>
      <patternFill patternType="solid">
        <fgColor rgb="FFFFFF00"/>
        <bgColor rgb="FFFFD966"/>
      </patternFill>
    </fill>
    <fill>
      <patternFill patternType="solid">
        <fgColor theme="9" tint="0.7999"/>
        <bgColor rgb="FFF2F2F2"/>
      </patternFill>
    </fill>
    <fill>
      <patternFill patternType="solid">
        <fgColor theme="0" tint="-0.25"/>
        <bgColor rgb="FFADB9CA"/>
      </patternFill>
    </fill>
    <fill>
      <patternFill patternType="solid">
        <fgColor theme="0" tint="-0.15"/>
        <bgColor rgb="FFDAE3F3"/>
      </patternFill>
    </fill>
    <fill>
      <patternFill patternType="solid">
        <fgColor theme="3" tint="0.5999"/>
        <bgColor rgb="FFBFBFBF"/>
      </patternFill>
    </fill>
    <fill>
      <patternFill patternType="solid">
        <fgColor rgb="FFFF0000"/>
        <bgColor rgb="FFC00000"/>
      </patternFill>
    </fill>
    <fill>
      <patternFill patternType="solid">
        <fgColor theme="4" tint="0.7999"/>
        <bgColor rgb="FFD9D9D9"/>
      </patternFill>
    </fill>
    <fill>
      <patternFill patternType="solid">
        <fgColor theme="4" tint="-0.25"/>
        <bgColor rgb="FF3F3F76"/>
      </patternFill>
    </fill>
    <fill>
      <patternFill patternType="solid">
        <fgColor theme="7" tint="-0.5"/>
        <bgColor rgb="FF9C5700"/>
      </patternFill>
    </fill>
    <fill>
      <patternFill patternType="solid">
        <fgColor theme="5" tint="0.5999"/>
        <bgColor rgb="FFFFCC99"/>
      </patternFill>
    </fill>
    <fill>
      <patternFill patternType="solid">
        <fgColor theme="0" tint="-0.5"/>
        <bgColor rgb="FF7F7F7F"/>
      </patternFill>
    </fill>
    <fill>
      <patternFill patternType="solid">
        <fgColor theme="7" tint="0.3999"/>
        <bgColor rgb="FFFFCC99"/>
      </patternFill>
    </fill>
    <fill>
      <patternFill patternType="solid">
        <fgColor rgb="FF7030A0"/>
        <bgColor rgb="FF993366"/>
      </patternFill>
    </fill>
    <fill>
      <patternFill patternType="solid">
        <fgColor rgb="FF92D050"/>
        <bgColor rgb="FF70AD47"/>
      </patternFill>
    </fill>
    <fill>
      <patternFill patternType="solid">
        <fgColor rgb="FF00B0F0"/>
        <bgColor rgb="FF33CCCC"/>
      </patternFill>
    </fill>
    <fill>
      <patternFill patternType="solid">
        <fgColor theme="4" tint="0.5999"/>
        <bgColor rgb="FFADB9CA"/>
      </patternFill>
    </fill>
    <fill>
      <patternFill patternType="solid">
        <fgColor theme="7" tint="0.7999"/>
        <bgColor rgb="FFF2F2F2"/>
      </patternFill>
    </fill>
    <fill>
      <patternFill patternType="solid">
        <fgColor theme="0"/>
        <bgColor rgb="FFF2F2F2"/>
      </patternFill>
    </fill>
  </fills>
  <borders count="22">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top style="thin"/>
      <bottom style="thin"/>
      <diagonal/>
    </border>
    <border diagonalUp="false" diagonalDown="false">
      <left/>
      <right/>
      <top style="thin"/>
      <bottom/>
      <diagonal/>
    </border>
    <border diagonalUp="false" diagonalDown="false">
      <left style="thin"/>
      <right/>
      <top/>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style="thin"/>
      <top/>
      <bottom style="thin"/>
      <diagonal/>
    </border>
    <border diagonalUp="false" diagonalDown="false">
      <left style="medium"/>
      <right/>
      <top/>
      <bottom/>
      <diagonal/>
    </border>
    <border diagonalUp="false" diagonalDown="false">
      <left/>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right style="thin"/>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thin"/>
      <right style="thin"/>
      <top style="thin"/>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2" borderId="1" applyFont="true" applyBorder="true" applyAlignment="true" applyProtection="false">
      <alignment horizontal="general" vertical="bottom" textRotation="0" wrapText="false" indent="0" shrinkToFit="false"/>
    </xf>
    <xf numFmtId="164" fontId="12" fillId="3" borderId="0" applyFont="true" applyBorder="false" applyAlignment="true" applyProtection="false">
      <alignment horizontal="general" vertical="bottom" textRotation="0" wrapText="false" indent="0" shrinkToFit="false"/>
    </xf>
    <xf numFmtId="164" fontId="13" fillId="4" borderId="0" applyFont="true" applyBorder="false" applyAlignment="true" applyProtection="false">
      <alignment horizontal="general" vertical="bottom" textRotation="0" wrapText="false" indent="0" shrinkToFit="false"/>
    </xf>
  </cellStyleXfs>
  <cellXfs count="15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64" fontId="0" fillId="0" borderId="2" xfId="0" applyFont="true" applyBorder="true" applyAlignment="true" applyProtection="true">
      <alignment horizontal="right" vertical="bottom" textRotation="90" wrapText="true" indent="0" shrinkToFit="false"/>
      <protection locked="true" hidden="false"/>
    </xf>
    <xf numFmtId="164" fontId="0" fillId="5" borderId="0" xfId="0" applyFont="true" applyBorder="false" applyAlignment="true" applyProtection="true">
      <alignment horizontal="center"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0" fillId="7" borderId="3" xfId="0" applyFont="fals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right" vertical="bottom" textRotation="90" wrapText="tru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right" vertical="bottom" textRotation="90" wrapText="tru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5" fontId="0" fillId="0" borderId="0" xfId="0" applyFont="fals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5" fontId="0" fillId="0" borderId="0" xfId="0" applyFont="false" applyBorder="true" applyAlignment="true" applyProtection="true">
      <alignment horizontal="center" vertical="bottom"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12" fillId="0" borderId="0" xfId="21" applyFont="true" applyBorder="true" applyAlignment="true" applyProtection="true">
      <alignment horizontal="general" vertical="bottom" textRotation="0" wrapText="false" indent="0" shrinkToFit="false"/>
      <protection locked="true" hidden="false"/>
    </xf>
    <xf numFmtId="164" fontId="11" fillId="0" borderId="0" xfId="21" applyFont="true" applyBorder="true" applyAlignment="true" applyProtection="true">
      <alignment horizontal="general" vertical="bottom" textRotation="0" wrapText="false" indent="0" shrinkToFit="false"/>
      <protection locked="true" hidden="false"/>
    </xf>
    <xf numFmtId="164" fontId="11" fillId="0" borderId="0" xfId="22" applyFont="true" applyBorder="true" applyAlignment="true" applyProtection="true">
      <alignment horizontal="general" vertical="bottom" textRotation="0" wrapText="false" indent="0" shrinkToFit="false"/>
      <protection locked="true" hidden="false"/>
    </xf>
    <xf numFmtId="164" fontId="13" fillId="0" borderId="0" xfId="22"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true" applyAlignment="true" applyProtection="true">
      <alignment horizontal="general" vertical="bottom" textRotation="0" wrapText="false" indent="0" shrinkToFit="false"/>
      <protection locked="true" hidden="false"/>
    </xf>
    <xf numFmtId="164" fontId="5" fillId="8" borderId="0" xfId="0" applyFont="true" applyBorder="fals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0" fillId="9" borderId="0" xfId="0" applyFont="true" applyBorder="fals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0" fillId="1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20" fillId="8" borderId="0" xfId="0" applyFont="true" applyBorder="false" applyAlignment="true" applyProtection="true">
      <alignment horizontal="general" vertical="bottom" textRotation="0" wrapText="false" indent="0" shrinkToFit="false"/>
      <protection locked="true" hidden="false"/>
    </xf>
    <xf numFmtId="166" fontId="0" fillId="11" borderId="3" xfId="0" applyFont="false" applyBorder="true" applyAlignment="true" applyProtection="true">
      <alignment horizontal="general" vertical="bottom" textRotation="0" wrapText="false" indent="0" shrinkToFit="false"/>
      <protection locked="true" hidden="false"/>
    </xf>
    <xf numFmtId="166" fontId="0" fillId="12" borderId="4"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6" fontId="0" fillId="13" borderId="4" xfId="0" applyFont="false" applyBorder="true" applyAlignment="true" applyProtection="true">
      <alignment horizontal="general" vertical="bottom" textRotation="0" wrapText="false" indent="0" shrinkToFit="false"/>
      <protection locked="true" hidden="false"/>
    </xf>
    <xf numFmtId="164" fontId="0" fillId="13" borderId="5" xfId="0" applyFont="false" applyBorder="true" applyAlignment="true" applyProtection="true">
      <alignment horizontal="general" vertical="bottom" textRotation="0" wrapText="false" indent="0" shrinkToFit="false"/>
      <protection locked="true" hidden="false"/>
    </xf>
    <xf numFmtId="164" fontId="21" fillId="6" borderId="0" xfId="0" applyFont="true" applyBorder="false" applyAlignment="true" applyProtection="true">
      <alignment horizontal="general" vertical="bottom" textRotation="0" wrapText="false" indent="0" shrinkToFit="false"/>
      <protection locked="true" hidden="false"/>
    </xf>
    <xf numFmtId="164" fontId="15" fillId="6" borderId="0" xfId="0" applyFont="true" applyBorder="false" applyAlignment="true" applyProtection="true">
      <alignment horizontal="general" vertical="bottom" textRotation="0" wrapText="false" indent="0" shrinkToFit="false"/>
      <protection locked="true" hidden="false"/>
    </xf>
    <xf numFmtId="166" fontId="0" fillId="14" borderId="6" xfId="0" applyFont="false" applyBorder="true" applyAlignment="true" applyProtection="true">
      <alignment horizontal="center" vertical="bottom" textRotation="0" wrapText="false" indent="0" shrinkToFit="false"/>
      <protection locked="true" hidden="false"/>
    </xf>
    <xf numFmtId="164" fontId="19" fillId="6" borderId="0" xfId="0" applyFont="true" applyBorder="false" applyAlignment="true" applyProtection="true">
      <alignment horizontal="general" vertical="bottom" textRotation="0" wrapText="false" indent="0" shrinkToFit="false"/>
      <protection locked="true" hidden="false"/>
    </xf>
    <xf numFmtId="164" fontId="22" fillId="6" borderId="0" xfId="0" applyFont="true" applyBorder="false" applyAlignment="true" applyProtection="true">
      <alignment horizontal="general" vertical="bottom" textRotation="0" wrapText="false" indent="0" shrinkToFit="false"/>
      <protection locked="true" hidden="false"/>
    </xf>
    <xf numFmtId="166" fontId="0" fillId="10" borderId="3" xfId="0" applyFont="false" applyBorder="true" applyAlignment="true" applyProtection="true">
      <alignment horizontal="general" vertical="bottom" textRotation="0" wrapText="false" indent="0" shrinkToFit="false"/>
      <protection locked="true" hidden="false"/>
    </xf>
    <xf numFmtId="166" fontId="0" fillId="15" borderId="4" xfId="0" applyFont="false" applyBorder="true" applyAlignment="true" applyProtection="true">
      <alignment horizontal="center" vertical="bottom" textRotation="0" wrapText="false" indent="0" shrinkToFit="false"/>
      <protection locked="true" hidden="false"/>
    </xf>
    <xf numFmtId="166" fontId="0" fillId="16" borderId="6" xfId="0" applyFont="false" applyBorder="true" applyAlignment="true" applyProtection="true">
      <alignment horizontal="center" vertical="bottom" textRotation="0" wrapText="false" indent="0" shrinkToFit="false"/>
      <protection locked="true" hidden="false"/>
    </xf>
    <xf numFmtId="166" fontId="0" fillId="17" borderId="3" xfId="0" applyFont="false" applyBorder="true" applyAlignment="true" applyProtection="true">
      <alignment horizontal="general" vertical="bottom" textRotation="0" wrapText="false" indent="0" shrinkToFit="false"/>
      <protection locked="true" hidden="false"/>
    </xf>
    <xf numFmtId="166" fontId="0" fillId="18" borderId="6" xfId="0" applyFont="false" applyBorder="true" applyAlignment="true" applyProtection="true">
      <alignment horizontal="center"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6" fontId="0" fillId="14" borderId="4" xfId="0" applyFont="false" applyBorder="true" applyAlignment="true" applyProtection="true">
      <alignment horizontal="general" vertical="bottom"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6" fontId="0" fillId="19" borderId="3" xfId="0" applyFont="false" applyBorder="true" applyAlignment="true" applyProtection="true">
      <alignment horizontal="general" vertical="bottom" textRotation="0" wrapText="false" indent="0" shrinkToFit="false"/>
      <protection locked="true" hidden="false"/>
    </xf>
    <xf numFmtId="166" fontId="0" fillId="15" borderId="0" xfId="0" applyFont="false" applyBorder="false" applyAlignment="true" applyProtection="true">
      <alignment horizontal="general" vertical="bottom" textRotation="0" wrapText="false" indent="0" shrinkToFit="false"/>
      <protection locked="true" hidden="false"/>
    </xf>
    <xf numFmtId="166" fontId="0" fillId="16" borderId="4" xfId="0" applyFont="false" applyBorder="tru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center" vertical="bottom" textRotation="0" wrapText="false" indent="0" shrinkToFit="false"/>
      <protection locked="true" hidden="false"/>
    </xf>
    <xf numFmtId="166" fontId="0" fillId="20" borderId="3" xfId="0" applyFont="false" applyBorder="true" applyAlignment="true" applyProtection="true">
      <alignment horizontal="general" vertical="bottom" textRotation="0" wrapText="false" indent="0" shrinkToFit="false"/>
      <protection locked="true" hidden="false"/>
    </xf>
    <xf numFmtId="166" fontId="0" fillId="18" borderId="5" xfId="0" applyFont="false" applyBorder="true" applyAlignment="true" applyProtection="true">
      <alignment horizontal="general" vertical="bottom" textRotation="0" wrapText="false" indent="0" shrinkToFit="false"/>
      <protection locked="true" hidden="false"/>
    </xf>
    <xf numFmtId="166" fontId="0" fillId="21" borderId="3" xfId="0" applyFont="false" applyBorder="true" applyAlignment="true" applyProtection="true">
      <alignment horizontal="general" vertical="bottom" textRotation="0" wrapText="false" indent="0" shrinkToFit="false"/>
      <protection locked="true" hidden="false"/>
    </xf>
    <xf numFmtId="166" fontId="0" fillId="15" borderId="4" xfId="0" applyFont="false" applyBorder="true" applyAlignment="true" applyProtection="true">
      <alignment horizontal="general" vertical="bottom" textRotation="0" wrapText="false" indent="0" shrinkToFit="false"/>
      <protection locked="true" hidden="false"/>
    </xf>
    <xf numFmtId="166" fontId="0" fillId="16" borderId="5" xfId="0" applyFont="fals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6" fontId="0" fillId="16" borderId="3" xfId="0" applyFont="false" applyBorder="true" applyAlignment="true" applyProtection="true">
      <alignment horizontal="general" vertical="bottom" textRotation="0" wrapText="false" indent="0" shrinkToFit="false"/>
      <protection locked="true" hidden="false"/>
    </xf>
    <xf numFmtId="165" fontId="0" fillId="13" borderId="4" xfId="0" applyFont="false" applyBorder="true" applyAlignment="true" applyProtection="true">
      <alignment horizontal="general" vertical="bottom" textRotation="0" wrapText="false" indent="0" shrinkToFit="false"/>
      <protection locked="true" hidden="false"/>
    </xf>
    <xf numFmtId="166" fontId="0" fillId="14" borderId="3" xfId="0" applyFont="fals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0" fillId="5" borderId="0" xfId="0" applyFont="true" applyBorder="false" applyAlignment="true" applyProtection="true">
      <alignment horizontal="right"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22" borderId="0" xfId="0" applyFont="true" applyBorder="false" applyAlignment="true" applyProtection="true">
      <alignment horizontal="general" vertical="bottom" textRotation="0" wrapText="false" indent="0" shrinkToFit="false"/>
      <protection locked="true" hidden="false"/>
    </xf>
    <xf numFmtId="166" fontId="0" fillId="12" borderId="4" xfId="0" applyFont="false" applyBorder="true" applyAlignment="true" applyProtection="true">
      <alignment horizontal="general" vertical="bottom" textRotation="0" wrapText="false" indent="0" shrinkToFit="false"/>
      <protection locked="true" hidden="false"/>
    </xf>
    <xf numFmtId="164" fontId="0" fillId="12" borderId="5" xfId="0" applyFont="false" applyBorder="true" applyAlignment="true" applyProtection="true">
      <alignment horizontal="general" vertical="bottom" textRotation="0" wrapText="false" indent="0" shrinkToFit="false"/>
      <protection locked="true" hidden="false"/>
    </xf>
    <xf numFmtId="164" fontId="0" fillId="15" borderId="5" xfId="0" applyFont="false" applyBorder="true" applyAlignment="true" applyProtection="true">
      <alignment horizontal="general" vertical="bottom" textRotation="0" wrapText="false" indent="0" shrinkToFit="false"/>
      <protection locked="true" hidden="false"/>
    </xf>
    <xf numFmtId="166" fontId="0" fillId="21" borderId="4" xfId="0" applyFont="false" applyBorder="true" applyAlignment="true" applyProtection="true">
      <alignment horizontal="general" vertical="bottom" textRotation="0" wrapText="false" indent="0" shrinkToFit="false"/>
      <protection locked="true" hidden="false"/>
    </xf>
    <xf numFmtId="164" fontId="0" fillId="21" borderId="0" xfId="0" applyFont="false" applyBorder="false" applyAlignment="true" applyProtection="true">
      <alignment horizontal="general" vertical="bottom" textRotation="0" wrapText="false" indent="0" shrinkToFit="false"/>
      <protection locked="true" hidden="false"/>
    </xf>
    <xf numFmtId="166" fontId="0" fillId="18" borderId="4" xfId="0" applyFont="false" applyBorder="true" applyAlignment="true" applyProtection="true">
      <alignment horizontal="general" vertical="bottom" textRotation="0" wrapText="false" indent="0" shrinkToFit="false"/>
      <protection locked="true" hidden="false"/>
    </xf>
    <xf numFmtId="165" fontId="0" fillId="0" borderId="3" xfId="0" applyFont="false" applyBorder="true" applyAlignment="true" applyProtection="true">
      <alignment horizontal="general" vertical="bottom" textRotation="0" wrapText="false" indent="0" shrinkToFit="false"/>
      <protection locked="true" hidden="false"/>
    </xf>
    <xf numFmtId="164" fontId="25" fillId="21"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6" fontId="11" fillId="13" borderId="4" xfId="0" applyFont="true" applyBorder="true" applyAlignment="true" applyProtection="true">
      <alignment horizontal="general" vertical="bottom" textRotation="0" wrapText="false" indent="0" shrinkToFit="false"/>
      <protection locked="true" hidden="false"/>
    </xf>
    <xf numFmtId="164" fontId="11" fillId="13" borderId="5" xfId="0" applyFont="true" applyBorder="true" applyAlignment="true" applyProtection="true">
      <alignment horizontal="general" vertical="bottom" textRotation="0" wrapText="false" indent="0" shrinkToFit="false"/>
      <protection locked="true" hidden="false"/>
    </xf>
    <xf numFmtId="164" fontId="11" fillId="9" borderId="0" xfId="0" applyFont="true" applyBorder="false" applyAlignment="true" applyProtection="true">
      <alignment horizontal="general" vertical="bottom" textRotation="0" wrapText="false" indent="0" shrinkToFit="false"/>
      <protection locked="true" hidden="false"/>
    </xf>
    <xf numFmtId="164" fontId="11" fillId="5" borderId="0" xfId="0" applyFont="true" applyBorder="false" applyAlignment="true" applyProtection="true">
      <alignment horizontal="general" vertical="bottom" textRotation="0" wrapText="false" indent="0" shrinkToFit="false"/>
      <protection locked="true" hidden="false"/>
    </xf>
    <xf numFmtId="164" fontId="11" fillId="6" borderId="0" xfId="0" applyFont="true" applyBorder="false" applyAlignment="true" applyProtection="true">
      <alignment horizontal="general" vertical="bottom" textRotation="0" wrapText="false" indent="0" shrinkToFit="false"/>
      <protection locked="true" hidden="false"/>
    </xf>
    <xf numFmtId="164" fontId="11" fillId="7"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0" fillId="22" borderId="0" xfId="0" applyFont="true" applyBorder="false" applyAlignment="true" applyProtection="true">
      <alignment horizontal="right" vertical="bottom"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5" shrinkToFit="false"/>
      <protection locked="true" hidden="false"/>
    </xf>
    <xf numFmtId="166" fontId="0" fillId="7" borderId="6" xfId="0" applyFont="false" applyBorder="true" applyAlignment="true" applyProtection="true">
      <alignment horizontal="general" vertical="bottom" textRotation="0" wrapText="false" indent="0" shrinkToFit="false"/>
      <protection locked="true" hidden="false"/>
    </xf>
    <xf numFmtId="164" fontId="0" fillId="7" borderId="5" xfId="0" applyFont="false" applyBorder="true" applyAlignment="true" applyProtection="true">
      <alignment horizontal="general" vertical="bottom" textRotation="0" wrapText="false" indent="0" shrinkToFit="false"/>
      <protection locked="true" hidden="false"/>
    </xf>
    <xf numFmtId="164" fontId="5" fillId="13" borderId="4" xfId="0" applyFont="true" applyBorder="true" applyAlignment="true" applyProtection="true">
      <alignment horizontal="center" vertical="bottom" textRotation="0" wrapText="false" indent="0" shrinkToFit="false"/>
      <protection locked="true" hidden="false"/>
    </xf>
    <xf numFmtId="164" fontId="0" fillId="0" borderId="8" xfId="0" applyFont="false" applyBorder="true" applyAlignment="true" applyProtection="true">
      <alignment horizontal="general" vertical="bottom" textRotation="0" wrapText="false" indent="0" shrinkToFit="false"/>
      <protection locked="true" hidden="false"/>
    </xf>
    <xf numFmtId="166" fontId="0" fillId="20" borderId="4" xfId="0" applyFont="false" applyBorder="true" applyAlignment="true" applyProtection="true">
      <alignment horizontal="general" vertical="bottom" textRotation="0" wrapText="false" indent="0" shrinkToFit="false"/>
      <protection locked="true" hidden="false"/>
    </xf>
    <xf numFmtId="164" fontId="0" fillId="20" borderId="5" xfId="0" applyFont="false" applyBorder="true" applyAlignment="true" applyProtection="true">
      <alignment horizontal="general" vertical="bottom" textRotation="0" wrapText="false" indent="0" shrinkToFit="false"/>
      <protection locked="true" hidden="false"/>
    </xf>
    <xf numFmtId="166" fontId="0" fillId="11" borderId="4" xfId="0" applyFont="false" applyBorder="true" applyAlignment="true" applyProtection="true">
      <alignment horizontal="general" vertical="bottom" textRotation="0" wrapText="false" indent="0" shrinkToFit="false"/>
      <protection locked="true" hidden="false"/>
    </xf>
    <xf numFmtId="164" fontId="0" fillId="11" borderId="5" xfId="0" applyFont="false" applyBorder="true" applyAlignment="true" applyProtection="true">
      <alignment horizontal="general" vertical="bottom" textRotation="0" wrapText="false" indent="0" shrinkToFit="false"/>
      <protection locked="true" hidden="false"/>
    </xf>
    <xf numFmtId="164" fontId="0" fillId="23" borderId="9" xfId="0" applyFont="true" applyBorder="true" applyAlignment="true" applyProtection="true">
      <alignment horizontal="general" vertical="center" textRotation="0" wrapText="false" indent="0" shrinkToFit="false"/>
      <protection locked="true" hidden="false"/>
    </xf>
    <xf numFmtId="164" fontId="0" fillId="23" borderId="7" xfId="0" applyFont="false" applyBorder="true" applyAlignment="true" applyProtection="true">
      <alignment horizontal="general" vertical="bottom" textRotation="0" wrapText="false" indent="0" shrinkToFit="false"/>
      <protection locked="true" hidden="false"/>
    </xf>
    <xf numFmtId="164" fontId="0" fillId="23" borderId="10" xfId="0" applyFont="false" applyBorder="true" applyAlignment="true" applyProtection="true">
      <alignment horizontal="general" vertical="bottom" textRotation="0" wrapText="false" indent="0" shrinkToFit="false"/>
      <protection locked="true" hidden="false"/>
    </xf>
    <xf numFmtId="164" fontId="0" fillId="23" borderId="11" xfId="0" applyFont="false" applyBorder="true" applyAlignment="true" applyProtection="true">
      <alignment horizontal="general" vertical="bottom" textRotation="0" wrapText="false" indent="0" shrinkToFit="false"/>
      <protection locked="true" hidden="false"/>
    </xf>
    <xf numFmtId="164" fontId="0" fillId="23" borderId="2" xfId="0" applyFont="false" applyBorder="true" applyAlignment="true" applyProtection="true">
      <alignment horizontal="general" vertical="bottom" textRotation="0" wrapText="false" indent="0" shrinkToFit="false"/>
      <protection locked="true" hidden="false"/>
    </xf>
    <xf numFmtId="164" fontId="0" fillId="23" borderId="12" xfId="0" applyFont="false" applyBorder="true" applyAlignment="true" applyProtection="true">
      <alignment horizontal="general" vertical="bottom" textRotation="0" wrapText="false" indent="0" shrinkToFit="false"/>
      <protection locked="true" hidden="false"/>
    </xf>
    <xf numFmtId="164" fontId="0" fillId="23" borderId="0" xfId="0" applyFont="false" applyBorder="fals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0" fillId="0" borderId="6" xfId="0" applyFont="false" applyBorder="tru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center" textRotation="0" wrapText="false" indent="0" shrinkToFit="false"/>
      <protection locked="true" hidden="false"/>
    </xf>
    <xf numFmtId="164" fontId="23" fillId="0" borderId="0" xfId="0" applyFont="true" applyBorder="true" applyAlignment="true" applyProtection="true">
      <alignment horizontal="general" vertical="bottom" textRotation="0" wrapText="false" indent="0" shrinkToFit="false"/>
      <protection locked="true" hidden="false"/>
    </xf>
    <xf numFmtId="164" fontId="0" fillId="0" borderId="13" xfId="0" applyFont="true" applyBorder="true" applyAlignment="true" applyProtection="true">
      <alignment horizontal="general" vertical="bottom"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0" fillId="0" borderId="15" xfId="0" applyFont="false" applyBorder="true" applyAlignment="true" applyProtection="true">
      <alignment horizontal="general" vertical="bottom" textRotation="0" wrapText="false" indent="0" shrinkToFit="false"/>
      <protection locked="true" hidden="false"/>
    </xf>
    <xf numFmtId="164" fontId="0" fillId="0" borderId="16" xfId="0" applyFont="false" applyBorder="true" applyAlignment="true" applyProtection="true">
      <alignment horizontal="general" vertical="bottom" textRotation="0" wrapText="false" indent="0" shrinkToFit="false"/>
      <protection locked="true" hidden="false"/>
    </xf>
    <xf numFmtId="164" fontId="28" fillId="0" borderId="0" xfId="0" applyFont="true" applyBorder="true" applyAlignment="true" applyProtection="true">
      <alignment horizontal="general" vertical="bottom" textRotation="0" wrapText="false" indent="0" shrinkToFit="false"/>
      <protection locked="true" hidden="false"/>
    </xf>
    <xf numFmtId="164" fontId="0" fillId="24" borderId="0" xfId="0" applyFont="false" applyBorder="false" applyAlignment="true" applyProtection="true">
      <alignment horizontal="general" vertical="bottom" textRotation="0" wrapText="fals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true" applyProtection="true">
      <alignment horizontal="right" vertical="bottom" textRotation="90" wrapText="tru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right" vertical="bottom" textRotation="90" wrapText="true" indent="0" shrinkToFit="false"/>
      <protection locked="true" hidden="false"/>
    </xf>
    <xf numFmtId="164" fontId="0" fillId="0" borderId="0" xfId="0" applyFont="false" applyBorder="false" applyAlignment="true" applyProtection="true">
      <alignment horizontal="right" vertical="bottom" textRotation="90" wrapText="true" indent="0" shrinkToFit="false"/>
      <protection locked="true" hidden="false"/>
    </xf>
    <xf numFmtId="164" fontId="0" fillId="5" borderId="13" xfId="0" applyFont="true" applyBorder="true" applyAlignment="true" applyProtection="true">
      <alignment horizontal="general" vertical="bottom" textRotation="0" wrapText="false" indent="0" shrinkToFit="false"/>
      <protection locked="true" hidden="false"/>
    </xf>
    <xf numFmtId="164" fontId="0" fillId="5" borderId="8" xfId="0" applyFont="true" applyBorder="true" applyAlignment="true" applyProtection="true">
      <alignment horizontal="general" vertical="bottom" textRotation="0" wrapText="false" indent="0" shrinkToFit="false"/>
      <protection locked="true" hidden="false"/>
    </xf>
    <xf numFmtId="164" fontId="0" fillId="6" borderId="13" xfId="0" applyFont="false" applyBorder="true" applyAlignment="true" applyProtection="true">
      <alignment horizontal="general" vertical="bottom" textRotation="0" wrapText="false" indent="0" shrinkToFit="false"/>
      <protection locked="true" hidden="false"/>
    </xf>
    <xf numFmtId="164" fontId="0" fillId="24" borderId="8" xfId="0" applyFont="false" applyBorder="true" applyAlignment="true" applyProtection="true">
      <alignment horizontal="general" vertical="bottom" textRotation="0" wrapText="false" indent="0" shrinkToFit="false"/>
      <protection locked="true" hidden="false"/>
    </xf>
    <xf numFmtId="164" fontId="0" fillId="6" borderId="8"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top" textRotation="0" wrapText="fals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64" fontId="0" fillId="9" borderId="17" xfId="0" applyFont="true" applyBorder="true" applyAlignment="true" applyProtection="true">
      <alignment horizontal="general" vertical="bottom" textRotation="0" wrapText="false" indent="0" shrinkToFit="false"/>
      <protection locked="true" hidden="false"/>
    </xf>
    <xf numFmtId="164" fontId="0" fillId="24" borderId="17" xfId="0" applyFont="false" applyBorder="true" applyAlignment="true" applyProtection="true">
      <alignment horizontal="general" vertical="bottom" textRotation="0" wrapText="false" indent="0" shrinkToFit="false"/>
      <protection locked="true" hidden="false"/>
    </xf>
    <xf numFmtId="164" fontId="0" fillId="0" borderId="12" xfId="0" applyFont="false" applyBorder="true" applyAlignment="true" applyProtection="true">
      <alignment horizontal="general" vertical="bottom" textRotation="0" wrapText="false" indent="0" shrinkToFit="false"/>
      <protection locked="true" hidden="false"/>
    </xf>
    <xf numFmtId="164" fontId="0" fillId="0" borderId="18" xfId="0" applyFont="false" applyBorder="true" applyAlignment="true" applyProtection="true">
      <alignment horizontal="general" vertical="bottom" textRotation="0" wrapText="false" indent="0" shrinkToFit="false"/>
      <protection locked="true" hidden="false"/>
    </xf>
    <xf numFmtId="164" fontId="0" fillId="0" borderId="19" xfId="0" applyFont="false" applyBorder="true" applyAlignment="true" applyProtection="true">
      <alignment horizontal="general" vertical="bottom" textRotation="0" wrapText="false" indent="0" shrinkToFit="false"/>
      <protection locked="true" hidden="false"/>
    </xf>
    <xf numFmtId="164" fontId="0" fillId="0" borderId="20"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1" shrinkToFit="false" readingOrder="1"/>
      <protection locked="true" hidden="false"/>
    </xf>
    <xf numFmtId="164" fontId="0" fillId="0" borderId="10" xfId="0" applyFont="false" applyBorder="true" applyAlignment="true" applyProtection="true">
      <alignment horizontal="general" vertical="bottom" textRotation="0" wrapText="false" indent="0" shrinkToFit="false"/>
      <protection locked="true" hidden="false"/>
    </xf>
    <xf numFmtId="164" fontId="0" fillId="0" borderId="8" xfId="0" applyFont="true" applyBorder="true" applyAlignment="true" applyProtection="true">
      <alignment horizontal="left" vertical="center" textRotation="0" wrapText="false" indent="1" shrinkToFit="false"/>
      <protection locked="true" hidden="false"/>
    </xf>
    <xf numFmtId="164" fontId="0" fillId="0" borderId="11" xfId="0" applyFont="true" applyBorder="true" applyAlignment="true" applyProtection="true">
      <alignment horizontal="left" vertical="center" textRotation="0" wrapText="false" indent="1"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1"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6" fontId="0" fillId="13" borderId="6" xfId="0" applyFont="false" applyBorder="true" applyAlignment="true" applyProtection="true">
      <alignment horizontal="general" vertical="bottom" textRotation="0" wrapText="false" indent="0" shrinkToFit="false"/>
      <protection locked="true" hidden="false"/>
    </xf>
    <xf numFmtId="166" fontId="0" fillId="0" borderId="21" xfId="0" applyFont="fals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right" vertical="bottom" textRotation="0" wrapText="false" indent="0" shrinkToFit="false"/>
      <protection locked="true" hidden="false"/>
    </xf>
    <xf numFmtId="166" fontId="0" fillId="13" borderId="3" xfId="0" applyFont="false" applyBorder="true" applyAlignment="true" applyProtection="true">
      <alignment horizontal="general" vertical="bottom" textRotation="0" wrapText="false" indent="0" shrinkToFit="false"/>
      <protection locked="true" hidden="false"/>
    </xf>
    <xf numFmtId="164" fontId="0" fillId="24" borderId="3" xfId="0" applyFont="true" applyBorder="true" applyAlignment="true" applyProtection="true">
      <alignment horizontal="general" vertical="bottom" textRotation="0" wrapText="false" indent="0" shrinkToFit="false"/>
      <protection locked="true" hidden="false"/>
    </xf>
    <xf numFmtId="164" fontId="5" fillId="24" borderId="3" xfId="0" applyFont="true" applyBorder="true" applyAlignment="true" applyProtection="tru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Excel Built-in Input" xfId="20"/>
    <cellStyle name="Excel Built-in Neutral" xfId="21"/>
    <cellStyle name="Excel Built-in Good" xfId="22"/>
  </cellStyles>
  <colors>
    <indexedColors>
      <rgbColor rgb="FF000000"/>
      <rgbColor rgb="FFFFFFFF"/>
      <rgbColor rgb="FFFF0000"/>
      <rgbColor rgb="FF00FF00"/>
      <rgbColor rgb="FF0000FF"/>
      <rgbColor rgb="FFFFFF00"/>
      <rgbColor rgb="FFFF00FF"/>
      <rgbColor rgb="FF00FFFF"/>
      <rgbColor rgb="FFC00000"/>
      <rgbColor rgb="FF006100"/>
      <rgbColor rgb="FF000080"/>
      <rgbColor rgb="FF806000"/>
      <rgbColor rgb="FF800080"/>
      <rgbColor rgb="FF2F5597"/>
      <rgbColor rgb="FFBFBFBF"/>
      <rgbColor rgb="FF808080"/>
      <rgbColor rgb="FF9999FF"/>
      <rgbColor rgb="FF7030A0"/>
      <rgbColor rgb="FFFFF2CC"/>
      <rgbColor rgb="FFE2F0D9"/>
      <rgbColor rgb="FF660066"/>
      <rgbColor rgb="FFFF8080"/>
      <rgbColor rgb="FF2E75B6"/>
      <rgbColor rgb="FFB4C7E7"/>
      <rgbColor rgb="FF000080"/>
      <rgbColor rgb="FFFF00FF"/>
      <rgbColor rgb="FFF2F2F2"/>
      <rgbColor rgb="FF00FFFF"/>
      <rgbColor rgb="FF800080"/>
      <rgbColor rgb="FF800000"/>
      <rgbColor rgb="FF008080"/>
      <rgbColor rgb="FF0000FF"/>
      <rgbColor rgb="FF00B0F0"/>
      <rgbColor rgb="FFDAE3F3"/>
      <rgbColor rgb="FFC6EFCE"/>
      <rgbColor rgb="FFFFEB9C"/>
      <rgbColor rgb="FFADB9CA"/>
      <rgbColor rgb="FFF8CBAD"/>
      <rgbColor rgb="FFD9D9D9"/>
      <rgbColor rgb="FFFFCC99"/>
      <rgbColor rgb="FF4472C4"/>
      <rgbColor rgb="FF33CCCC"/>
      <rgbColor rgb="FF92D050"/>
      <rgbColor rgb="FFFFD966"/>
      <rgbColor rgb="FFFF9900"/>
      <rgbColor rgb="FFC55A11"/>
      <rgbColor rgb="FF7F7F7F"/>
      <rgbColor rgb="FFA6A6A6"/>
      <rgbColor rgb="FF00428C"/>
      <rgbColor rgb="FF70AD47"/>
      <rgbColor rgb="FF003300"/>
      <rgbColor rgb="FF333300"/>
      <rgbColor rgb="FF9C5700"/>
      <rgbColor rgb="FF993366"/>
      <rgbColor rgb="FF3F3F76"/>
      <rgbColor rgb="FF3D39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wmf"/><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wmf"/><Relationship Id="rId5" Type="http://schemas.openxmlformats.org/officeDocument/2006/relationships/image" Target="../media/image5.png"/><Relationship Id="rId6" Type="http://schemas.openxmlformats.org/officeDocument/2006/relationships/image" Target="../media/image4.wmf"/><Relationship Id="rId7" Type="http://schemas.openxmlformats.org/officeDocument/2006/relationships/image" Target="../media/image4.wmf"/><Relationship Id="rId8" Type="http://schemas.openxmlformats.org/officeDocument/2006/relationships/image" Target="../media/image5.png"/><Relationship Id="rId9" Type="http://schemas.openxmlformats.org/officeDocument/2006/relationships/image" Target="../media/image6.png"/><Relationship Id="rId10" Type="http://schemas.openxmlformats.org/officeDocument/2006/relationships/image" Target="../media/image4.wmf"/><Relationship Id="rId11" Type="http://schemas.openxmlformats.org/officeDocument/2006/relationships/image" Target="../media/image5.png"/><Relationship Id="rId12" Type="http://schemas.openxmlformats.org/officeDocument/2006/relationships/image" Target="../media/image4.wmf"/><Relationship Id="rId13" Type="http://schemas.openxmlformats.org/officeDocument/2006/relationships/image" Target="../media/image7.png"/><Relationship Id="rId14" Type="http://schemas.openxmlformats.org/officeDocument/2006/relationships/image" Target="../media/image8.wmf"/><Relationship Id="rId15" Type="http://schemas.openxmlformats.org/officeDocument/2006/relationships/image" Target="../media/image9.png"/><Relationship Id="rId16" Type="http://schemas.openxmlformats.org/officeDocument/2006/relationships/image" Target="../media/image4.wmf"/><Relationship Id="rId17" Type="http://schemas.openxmlformats.org/officeDocument/2006/relationships/image" Target="../media/image4.wmf"/><Relationship Id="rId18" Type="http://schemas.openxmlformats.org/officeDocument/2006/relationships/image" Target="../media/image5.png"/><Relationship Id="rId19" Type="http://schemas.openxmlformats.org/officeDocument/2006/relationships/image" Target="../media/image10.png"/><Relationship Id="rId20" Type="http://schemas.openxmlformats.org/officeDocument/2006/relationships/image" Target="../media/image11.png"/><Relationship Id="rId21" Type="http://schemas.openxmlformats.org/officeDocument/2006/relationships/image" Target="../media/image4.wmf"/><Relationship Id="rId22" Type="http://schemas.openxmlformats.org/officeDocument/2006/relationships/image" Target="../media/image4.wmf"/><Relationship Id="rId23" Type="http://schemas.openxmlformats.org/officeDocument/2006/relationships/image" Target="../media/image5.png"/><Relationship Id="rId24" Type="http://schemas.openxmlformats.org/officeDocument/2006/relationships/image" Target="../media/image12.png"/><Relationship Id="rId25" Type="http://schemas.openxmlformats.org/officeDocument/2006/relationships/image" Target="../media/image13.png"/><Relationship Id="rId26" Type="http://schemas.openxmlformats.org/officeDocument/2006/relationships/image" Target="../media/image4.wmf"/><Relationship Id="rId27" Type="http://schemas.openxmlformats.org/officeDocument/2006/relationships/image" Target="../media/image4.wmf"/><Relationship Id="rId28" Type="http://schemas.openxmlformats.org/officeDocument/2006/relationships/image" Target="../media/image14.png"/><Relationship Id="rId29" Type="http://schemas.openxmlformats.org/officeDocument/2006/relationships/image" Target="../media/image4.wmf"/><Relationship Id="rId30" Type="http://schemas.openxmlformats.org/officeDocument/2006/relationships/image" Target="../media/image4.wmf"/><Relationship Id="rId31" Type="http://schemas.openxmlformats.org/officeDocument/2006/relationships/image" Target="../media/image15.png"/><Relationship Id="rId32" Type="http://schemas.openxmlformats.org/officeDocument/2006/relationships/image" Target="../media/image16.png"/><Relationship Id="rId33" Type="http://schemas.openxmlformats.org/officeDocument/2006/relationships/image" Target="../media/image17.png"/><Relationship Id="rId34" Type="http://schemas.openxmlformats.org/officeDocument/2006/relationships/image" Target="../media/image18.png"/><Relationship Id="rId35" Type="http://schemas.openxmlformats.org/officeDocument/2006/relationships/image" Target="../media/image19.png"/><Relationship Id="rId36" Type="http://schemas.openxmlformats.org/officeDocument/2006/relationships/image" Target="../media/image20.png"/><Relationship Id="rId37" Type="http://schemas.openxmlformats.org/officeDocument/2006/relationships/image" Target="../media/image21.wmf"/><Relationship Id="rId38" Type="http://schemas.openxmlformats.org/officeDocument/2006/relationships/image" Target="../media/image4.wmf"/><Relationship Id="rId39" Type="http://schemas.openxmlformats.org/officeDocument/2006/relationships/image" Target="../media/image4.wmf"/><Relationship Id="rId40" Type="http://schemas.openxmlformats.org/officeDocument/2006/relationships/image" Target="../media/image22.png"/><Relationship Id="rId41" Type="http://schemas.openxmlformats.org/officeDocument/2006/relationships/image" Target="../media/image23.png"/><Relationship Id="rId42" Type="http://schemas.openxmlformats.org/officeDocument/2006/relationships/image" Target="../media/image4.wmf"/><Relationship Id="rId43" Type="http://schemas.openxmlformats.org/officeDocument/2006/relationships/image" Target="../media/image4.wmf"/>
</Relationships>
</file>

<file path=xl/drawings/_rels/drawing2.xml.rels><?xml version="1.0" encoding="UTF-8"?>
<Relationships xmlns="http://schemas.openxmlformats.org/package/2006/relationships"><Relationship Id="rId1" Type="http://schemas.openxmlformats.org/officeDocument/2006/relationships/image" Target="../media/image4.wmf"/><Relationship Id="rId2" Type="http://schemas.openxmlformats.org/officeDocument/2006/relationships/image" Target="../media/image4.wmf"/><Relationship Id="rId3" Type="http://schemas.openxmlformats.org/officeDocument/2006/relationships/image" Target="../media/image4.wmf"/><Relationship Id="rId4" Type="http://schemas.openxmlformats.org/officeDocument/2006/relationships/image" Target="../media/image4.wmf"/><Relationship Id="rId5" Type="http://schemas.openxmlformats.org/officeDocument/2006/relationships/image" Target="../media/image4.wmf"/><Relationship Id="rId6" Type="http://schemas.openxmlformats.org/officeDocument/2006/relationships/image" Target="../media/image4.wmf"/><Relationship Id="rId7" Type="http://schemas.openxmlformats.org/officeDocument/2006/relationships/image" Target="../media/image5.png"/><Relationship Id="rId8" Type="http://schemas.openxmlformats.org/officeDocument/2006/relationships/image" Target="../media/image4.wmf"/><Relationship Id="rId9" Type="http://schemas.openxmlformats.org/officeDocument/2006/relationships/image" Target="../media/image4.wmf"/><Relationship Id="rId10" Type="http://schemas.openxmlformats.org/officeDocument/2006/relationships/image" Target="../media/image4.wmf"/><Relationship Id="rId11" Type="http://schemas.openxmlformats.org/officeDocument/2006/relationships/image" Target="../media/image4.wmf"/><Relationship Id="rId12" Type="http://schemas.openxmlformats.org/officeDocument/2006/relationships/image" Target="../media/image4.wmf"/><Relationship Id="rId13" Type="http://schemas.openxmlformats.org/officeDocument/2006/relationships/image" Target="../media/image5.png"/><Relationship Id="rId14" Type="http://schemas.openxmlformats.org/officeDocument/2006/relationships/image" Target="../media/image4.wmf"/><Relationship Id="rId15" Type="http://schemas.openxmlformats.org/officeDocument/2006/relationships/image" Target="../media/image4.wmf"/><Relationship Id="rId16" Type="http://schemas.openxmlformats.org/officeDocument/2006/relationships/image" Target="../media/image4.wmf"/><Relationship Id="rId17" Type="http://schemas.openxmlformats.org/officeDocument/2006/relationships/image" Target="../media/image4.wmf"/><Relationship Id="rId18" Type="http://schemas.openxmlformats.org/officeDocument/2006/relationships/image" Target="../media/image24.png"/><Relationship Id="rId19" Type="http://schemas.openxmlformats.org/officeDocument/2006/relationships/image" Target="../media/image25.png"/><Relationship Id="rId20" Type="http://schemas.openxmlformats.org/officeDocument/2006/relationships/image" Target="../media/image4.wmf"/><Relationship Id="rId21" Type="http://schemas.openxmlformats.org/officeDocument/2006/relationships/image" Target="../media/image4.wmf"/><Relationship Id="rId22" Type="http://schemas.openxmlformats.org/officeDocument/2006/relationships/image" Target="../media/image26.png"/><Relationship Id="rId23" Type="http://schemas.openxmlformats.org/officeDocument/2006/relationships/image" Target="../media/image4.wmf"/><Relationship Id="rId24" Type="http://schemas.openxmlformats.org/officeDocument/2006/relationships/image" Target="../media/image4.wmf"/><Relationship Id="rId25" Type="http://schemas.openxmlformats.org/officeDocument/2006/relationships/image" Target="../media/image4.wmf"/><Relationship Id="rId26" Type="http://schemas.openxmlformats.org/officeDocument/2006/relationships/image" Target="../media/image4.wmf"/><Relationship Id="rId27" Type="http://schemas.openxmlformats.org/officeDocument/2006/relationships/image" Target="../media/image4.wmf"/><Relationship Id="rId28" Type="http://schemas.openxmlformats.org/officeDocument/2006/relationships/image" Target="../media/image4.wmf"/><Relationship Id="rId29" Type="http://schemas.openxmlformats.org/officeDocument/2006/relationships/image" Target="../media/image4.wmf"/><Relationship Id="rId30" Type="http://schemas.openxmlformats.org/officeDocument/2006/relationships/image" Target="../media/image4.wmf"/><Relationship Id="rId31" Type="http://schemas.openxmlformats.org/officeDocument/2006/relationships/image" Target="../media/image4.wmf"/><Relationship Id="rId32" Type="http://schemas.openxmlformats.org/officeDocument/2006/relationships/image" Target="../media/image4.wmf"/><Relationship Id="rId33" Type="http://schemas.openxmlformats.org/officeDocument/2006/relationships/image" Target="../media/image4.wmf"/><Relationship Id="rId34" Type="http://schemas.openxmlformats.org/officeDocument/2006/relationships/image" Target="../media/image4.wmf"/><Relationship Id="rId35" Type="http://schemas.openxmlformats.org/officeDocument/2006/relationships/image" Target="../media/image4.wmf"/>
</Relationships>
</file>

<file path=xl/drawings/_rels/drawing3.xml.rels><?xml version="1.0" encoding="UTF-8"?>
<Relationships xmlns="http://schemas.openxmlformats.org/package/2006/relationships"><Relationship Id="rId1" Type="http://schemas.openxmlformats.org/officeDocument/2006/relationships/image" Target="../media/image4.wmf"/><Relationship Id="rId2" Type="http://schemas.openxmlformats.org/officeDocument/2006/relationships/image" Target="../media/image4.wmf"/><Relationship Id="rId3" Type="http://schemas.openxmlformats.org/officeDocument/2006/relationships/image" Target="../media/image4.wmf"/><Relationship Id="rId4" Type="http://schemas.openxmlformats.org/officeDocument/2006/relationships/image" Target="../media/image4.wmf"/><Relationship Id="rId5" Type="http://schemas.openxmlformats.org/officeDocument/2006/relationships/image" Target="../media/image4.wmf"/><Relationship Id="rId6" Type="http://schemas.openxmlformats.org/officeDocument/2006/relationships/image" Target="../media/image4.wmf"/><Relationship Id="rId7" Type="http://schemas.openxmlformats.org/officeDocument/2006/relationships/image" Target="../media/image4.wmf"/><Relationship Id="rId8" Type="http://schemas.openxmlformats.org/officeDocument/2006/relationships/image" Target="../media/image4.wmf"/><Relationship Id="rId9" Type="http://schemas.openxmlformats.org/officeDocument/2006/relationships/image" Target="../media/image4.wmf"/><Relationship Id="rId10" Type="http://schemas.openxmlformats.org/officeDocument/2006/relationships/image" Target="../media/image4.wmf"/><Relationship Id="rId11" Type="http://schemas.openxmlformats.org/officeDocument/2006/relationships/image" Target="../media/image4.wmf"/><Relationship Id="rId12" Type="http://schemas.openxmlformats.org/officeDocument/2006/relationships/image" Target="../media/image4.wmf"/><Relationship Id="rId13" Type="http://schemas.openxmlformats.org/officeDocument/2006/relationships/image" Target="../media/image4.wmf"/><Relationship Id="rId14" Type="http://schemas.openxmlformats.org/officeDocument/2006/relationships/image" Target="../media/image27.png"/><Relationship Id="rId15" Type="http://schemas.openxmlformats.org/officeDocument/2006/relationships/image" Target="../media/image21.wmf"/><Relationship Id="rId16" Type="http://schemas.openxmlformats.org/officeDocument/2006/relationships/image" Target="../media/image4.wmf"/><Relationship Id="rId17" Type="http://schemas.openxmlformats.org/officeDocument/2006/relationships/image" Target="../media/image5.png"/>
</Relationships>
</file>

<file path=xl/drawings/_rels/drawing4.xml.rels><?xml version="1.0" encoding="UTF-8"?>
<Relationships xmlns="http://schemas.openxmlformats.org/package/2006/relationships"><Relationship Id="rId1" Type="http://schemas.openxmlformats.org/officeDocument/2006/relationships/image" Target="../media/image28.png"/><Relationship Id="rId2" Type="http://schemas.openxmlformats.org/officeDocument/2006/relationships/image" Target="../media/image29.png"/><Relationship Id="rId3" Type="http://schemas.openxmlformats.org/officeDocument/2006/relationships/image" Target="../media/image30.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20</xdr:row>
      <xdr:rowOff>43920</xdr:rowOff>
    </xdr:from>
    <xdr:to>
      <xdr:col>4</xdr:col>
      <xdr:colOff>92520</xdr:colOff>
      <xdr:row>29</xdr:row>
      <xdr:rowOff>189360</xdr:rowOff>
    </xdr:to>
    <xdr:pic>
      <xdr:nvPicPr>
        <xdr:cNvPr id="0" name="Imagen 1" descr=""/>
        <xdr:cNvPicPr/>
      </xdr:nvPicPr>
      <xdr:blipFill>
        <a:blip r:embed="rId1"/>
        <a:stretch/>
      </xdr:blipFill>
      <xdr:spPr>
        <a:xfrm>
          <a:off x="0" y="4692240"/>
          <a:ext cx="2092680" cy="1859760"/>
        </a:xfrm>
        <a:prstGeom prst="rect">
          <a:avLst/>
        </a:prstGeom>
        <a:ln w="0">
          <a:noFill/>
        </a:ln>
      </xdr:spPr>
    </xdr:pic>
    <xdr:clientData/>
  </xdr:twoCellAnchor>
  <xdr:twoCellAnchor editAs="oneCell">
    <xdr:from>
      <xdr:col>2</xdr:col>
      <xdr:colOff>259200</xdr:colOff>
      <xdr:row>154</xdr:row>
      <xdr:rowOff>142200</xdr:rowOff>
    </xdr:from>
    <xdr:to>
      <xdr:col>7</xdr:col>
      <xdr:colOff>132120</xdr:colOff>
      <xdr:row>163</xdr:row>
      <xdr:rowOff>92880</xdr:rowOff>
    </xdr:to>
    <xdr:pic>
      <xdr:nvPicPr>
        <xdr:cNvPr id="1" name="Imagen 2" descr=""/>
        <xdr:cNvPicPr/>
      </xdr:nvPicPr>
      <xdr:blipFill>
        <a:blip r:embed="rId2"/>
        <a:stretch/>
      </xdr:blipFill>
      <xdr:spPr>
        <a:xfrm>
          <a:off x="1387440" y="30661560"/>
          <a:ext cx="1962360" cy="1722240"/>
        </a:xfrm>
        <a:prstGeom prst="rect">
          <a:avLst/>
        </a:prstGeom>
        <a:ln w="0">
          <a:noFill/>
        </a:ln>
      </xdr:spPr>
    </xdr:pic>
    <xdr:clientData/>
  </xdr:twoCellAnchor>
  <xdr:twoCellAnchor editAs="oneCell">
    <xdr:from>
      <xdr:col>0</xdr:col>
      <xdr:colOff>0</xdr:colOff>
      <xdr:row>157</xdr:row>
      <xdr:rowOff>9000</xdr:rowOff>
    </xdr:from>
    <xdr:to>
      <xdr:col>2</xdr:col>
      <xdr:colOff>243000</xdr:colOff>
      <xdr:row>162</xdr:row>
      <xdr:rowOff>55080</xdr:rowOff>
    </xdr:to>
    <xdr:pic>
      <xdr:nvPicPr>
        <xdr:cNvPr id="2" name="Imagen 3" descr=""/>
        <xdr:cNvPicPr/>
      </xdr:nvPicPr>
      <xdr:blipFill>
        <a:blip r:embed="rId3"/>
        <a:stretch/>
      </xdr:blipFill>
      <xdr:spPr>
        <a:xfrm>
          <a:off x="0" y="31156920"/>
          <a:ext cx="1371240" cy="998640"/>
        </a:xfrm>
        <a:prstGeom prst="rect">
          <a:avLst/>
        </a:prstGeom>
        <a:ln w="0">
          <a:noFill/>
        </a:ln>
      </xdr:spPr>
    </xdr:pic>
    <xdr:clientData/>
  </xdr:twoCellAnchor>
  <xdr:twoCellAnchor editAs="oneCell">
    <xdr:from>
      <xdr:col>8</xdr:col>
      <xdr:colOff>68760</xdr:colOff>
      <xdr:row>235</xdr:row>
      <xdr:rowOff>66240</xdr:rowOff>
    </xdr:from>
    <xdr:to>
      <xdr:col>9</xdr:col>
      <xdr:colOff>210240</xdr:colOff>
      <xdr:row>237</xdr:row>
      <xdr:rowOff>179280</xdr:rowOff>
    </xdr:to>
    <xdr:pic>
      <xdr:nvPicPr>
        <xdr:cNvPr id="3" name="Imagen 4" descr=""/>
        <xdr:cNvPicPr/>
      </xdr:nvPicPr>
      <xdr:blipFill>
        <a:blip r:embed="rId4"/>
        <a:stretch/>
      </xdr:blipFill>
      <xdr:spPr>
        <a:xfrm>
          <a:off x="3713040" y="45849600"/>
          <a:ext cx="523800" cy="494280"/>
        </a:xfrm>
        <a:prstGeom prst="rect">
          <a:avLst/>
        </a:prstGeom>
        <a:ln w="0">
          <a:noFill/>
        </a:ln>
      </xdr:spPr>
    </xdr:pic>
    <xdr:clientData/>
  </xdr:twoCellAnchor>
  <xdr:twoCellAnchor editAs="oneCell">
    <xdr:from>
      <xdr:col>15</xdr:col>
      <xdr:colOff>365760</xdr:colOff>
      <xdr:row>235</xdr:row>
      <xdr:rowOff>180360</xdr:rowOff>
    </xdr:from>
    <xdr:to>
      <xdr:col>17</xdr:col>
      <xdr:colOff>129240</xdr:colOff>
      <xdr:row>238</xdr:row>
      <xdr:rowOff>87840</xdr:rowOff>
    </xdr:to>
    <xdr:pic>
      <xdr:nvPicPr>
        <xdr:cNvPr id="4" name="Imagen 5" descr=""/>
        <xdr:cNvPicPr/>
      </xdr:nvPicPr>
      <xdr:blipFill>
        <a:blip r:embed="rId5"/>
        <a:stretch/>
      </xdr:blipFill>
      <xdr:spPr>
        <a:xfrm>
          <a:off x="6988680" y="45963720"/>
          <a:ext cx="518760" cy="479160"/>
        </a:xfrm>
        <a:prstGeom prst="rect">
          <a:avLst/>
        </a:prstGeom>
        <a:ln w="0">
          <a:noFill/>
        </a:ln>
      </xdr:spPr>
    </xdr:pic>
    <xdr:clientData/>
  </xdr:twoCellAnchor>
  <xdr:twoCellAnchor editAs="twoCell">
    <xdr:from>
      <xdr:col>27</xdr:col>
      <xdr:colOff>358200</xdr:colOff>
      <xdr:row>158</xdr:row>
      <xdr:rowOff>166320</xdr:rowOff>
    </xdr:from>
    <xdr:to>
      <xdr:col>28</xdr:col>
      <xdr:colOff>170640</xdr:colOff>
      <xdr:row>161</xdr:row>
      <xdr:rowOff>100080</xdr:rowOff>
    </xdr:to>
    <xdr:sp>
      <xdr:nvSpPr>
        <xdr:cNvPr id="5" name="Flecha: a la derecha con bandas 8"/>
        <xdr:cNvSpPr/>
      </xdr:nvSpPr>
      <xdr:spPr>
        <a:xfrm>
          <a:off x="11476440" y="31504680"/>
          <a:ext cx="220680" cy="50544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6</xdr:col>
      <xdr:colOff>114480</xdr:colOff>
      <xdr:row>190</xdr:row>
      <xdr:rowOff>113040</xdr:rowOff>
    </xdr:from>
    <xdr:to>
      <xdr:col>7</xdr:col>
      <xdr:colOff>250200</xdr:colOff>
      <xdr:row>193</xdr:row>
      <xdr:rowOff>18720</xdr:rowOff>
    </xdr:to>
    <xdr:pic>
      <xdr:nvPicPr>
        <xdr:cNvPr id="6" name="Imagen 9" descr=""/>
        <xdr:cNvPicPr/>
      </xdr:nvPicPr>
      <xdr:blipFill>
        <a:blip r:embed="rId6"/>
        <a:stretch/>
      </xdr:blipFill>
      <xdr:spPr>
        <a:xfrm>
          <a:off x="2949840" y="37099800"/>
          <a:ext cx="518040" cy="477360"/>
        </a:xfrm>
        <a:prstGeom prst="rect">
          <a:avLst/>
        </a:prstGeom>
        <a:ln w="0">
          <a:noFill/>
        </a:ln>
      </xdr:spPr>
    </xdr:pic>
    <xdr:clientData/>
  </xdr:twoCellAnchor>
  <xdr:twoCellAnchor editAs="oneCell">
    <xdr:from>
      <xdr:col>14</xdr:col>
      <xdr:colOff>106560</xdr:colOff>
      <xdr:row>190</xdr:row>
      <xdr:rowOff>97920</xdr:rowOff>
    </xdr:from>
    <xdr:to>
      <xdr:col>15</xdr:col>
      <xdr:colOff>263160</xdr:colOff>
      <xdr:row>193</xdr:row>
      <xdr:rowOff>12960</xdr:rowOff>
    </xdr:to>
    <xdr:pic>
      <xdr:nvPicPr>
        <xdr:cNvPr id="7" name="Imagen 10" descr=""/>
        <xdr:cNvPicPr/>
      </xdr:nvPicPr>
      <xdr:blipFill>
        <a:blip r:embed="rId7"/>
        <a:stretch/>
      </xdr:blipFill>
      <xdr:spPr>
        <a:xfrm>
          <a:off x="6365880" y="37084680"/>
          <a:ext cx="520200" cy="486720"/>
        </a:xfrm>
        <a:prstGeom prst="rect">
          <a:avLst/>
        </a:prstGeom>
        <a:ln w="0">
          <a:noFill/>
        </a:ln>
      </xdr:spPr>
    </xdr:pic>
    <xdr:clientData/>
  </xdr:twoCellAnchor>
  <xdr:twoCellAnchor editAs="oneCell">
    <xdr:from>
      <xdr:col>22</xdr:col>
      <xdr:colOff>221040</xdr:colOff>
      <xdr:row>190</xdr:row>
      <xdr:rowOff>90360</xdr:rowOff>
    </xdr:from>
    <xdr:to>
      <xdr:col>23</xdr:col>
      <xdr:colOff>319680</xdr:colOff>
      <xdr:row>193</xdr:row>
      <xdr:rowOff>16920</xdr:rowOff>
    </xdr:to>
    <xdr:pic>
      <xdr:nvPicPr>
        <xdr:cNvPr id="8" name="Imagen 11" descr=""/>
        <xdr:cNvPicPr/>
      </xdr:nvPicPr>
      <xdr:blipFill>
        <a:blip r:embed="rId8"/>
        <a:stretch/>
      </xdr:blipFill>
      <xdr:spPr>
        <a:xfrm>
          <a:off x="9535680" y="37077120"/>
          <a:ext cx="480960" cy="498240"/>
        </a:xfrm>
        <a:prstGeom prst="rect">
          <a:avLst/>
        </a:prstGeom>
        <a:ln w="0">
          <a:noFill/>
        </a:ln>
      </xdr:spPr>
    </xdr:pic>
    <xdr:clientData/>
  </xdr:twoCellAnchor>
  <xdr:twoCellAnchor editAs="twoCell">
    <xdr:from>
      <xdr:col>15</xdr:col>
      <xdr:colOff>30600</xdr:colOff>
      <xdr:row>207</xdr:row>
      <xdr:rowOff>180360</xdr:rowOff>
    </xdr:from>
    <xdr:to>
      <xdr:col>15</xdr:col>
      <xdr:colOff>349560</xdr:colOff>
      <xdr:row>212</xdr:row>
      <xdr:rowOff>136440</xdr:rowOff>
    </xdr:to>
    <xdr:sp>
      <xdr:nvSpPr>
        <xdr:cNvPr id="9" name="Flecha: a la derecha con bandas 12"/>
        <xdr:cNvSpPr/>
      </xdr:nvSpPr>
      <xdr:spPr>
        <a:xfrm>
          <a:off x="6653520" y="40629960"/>
          <a:ext cx="318960" cy="90864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xdr:col>
      <xdr:colOff>335160</xdr:colOff>
      <xdr:row>258</xdr:row>
      <xdr:rowOff>30600</xdr:rowOff>
    </xdr:from>
    <xdr:to>
      <xdr:col>4</xdr:col>
      <xdr:colOff>303480</xdr:colOff>
      <xdr:row>260</xdr:row>
      <xdr:rowOff>6840</xdr:rowOff>
    </xdr:to>
    <xdr:sp>
      <xdr:nvSpPr>
        <xdr:cNvPr id="10" name="Flecha: a la derecha con bandas 34"/>
        <xdr:cNvSpPr/>
      </xdr:nvSpPr>
      <xdr:spPr>
        <a:xfrm>
          <a:off x="1463400" y="50216040"/>
          <a:ext cx="840240" cy="35712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0</xdr:col>
      <xdr:colOff>175320</xdr:colOff>
      <xdr:row>269</xdr:row>
      <xdr:rowOff>10440</xdr:rowOff>
    </xdr:from>
    <xdr:to>
      <xdr:col>3</xdr:col>
      <xdr:colOff>204840</xdr:colOff>
      <xdr:row>276</xdr:row>
      <xdr:rowOff>180360</xdr:rowOff>
    </xdr:to>
    <xdr:pic>
      <xdr:nvPicPr>
        <xdr:cNvPr id="11" name="Imagen 35" descr=""/>
        <xdr:cNvPicPr/>
      </xdr:nvPicPr>
      <xdr:blipFill>
        <a:blip r:embed="rId9"/>
        <a:stretch/>
      </xdr:blipFill>
      <xdr:spPr>
        <a:xfrm>
          <a:off x="175320" y="52320960"/>
          <a:ext cx="1603080" cy="1503720"/>
        </a:xfrm>
        <a:prstGeom prst="rect">
          <a:avLst/>
        </a:prstGeom>
        <a:ln w="0">
          <a:noFill/>
        </a:ln>
      </xdr:spPr>
    </xdr:pic>
    <xdr:clientData/>
  </xdr:twoCellAnchor>
  <xdr:twoCellAnchor editAs="twoCell">
    <xdr:from>
      <xdr:col>7</xdr:col>
      <xdr:colOff>0</xdr:colOff>
      <xdr:row>208</xdr:row>
      <xdr:rowOff>39600</xdr:rowOff>
    </xdr:from>
    <xdr:to>
      <xdr:col>8</xdr:col>
      <xdr:colOff>242640</xdr:colOff>
      <xdr:row>212</xdr:row>
      <xdr:rowOff>59040</xdr:rowOff>
    </xdr:to>
    <xdr:sp>
      <xdr:nvSpPr>
        <xdr:cNvPr id="12" name="Flecha: a la derecha con bandas 36"/>
        <xdr:cNvSpPr/>
      </xdr:nvSpPr>
      <xdr:spPr>
        <a:xfrm>
          <a:off x="3217680" y="40679640"/>
          <a:ext cx="669240" cy="78156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5</xdr:col>
      <xdr:colOff>304920</xdr:colOff>
      <xdr:row>301</xdr:row>
      <xdr:rowOff>147240</xdr:rowOff>
    </xdr:from>
    <xdr:to>
      <xdr:col>7</xdr:col>
      <xdr:colOff>235440</xdr:colOff>
      <xdr:row>305</xdr:row>
      <xdr:rowOff>47520</xdr:rowOff>
    </xdr:to>
    <xdr:sp>
      <xdr:nvSpPr>
        <xdr:cNvPr id="13" name="Flecha: a la derecha con bandas 50"/>
        <xdr:cNvSpPr/>
      </xdr:nvSpPr>
      <xdr:spPr>
        <a:xfrm>
          <a:off x="2732040" y="58554000"/>
          <a:ext cx="721080" cy="66204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14</xdr:col>
      <xdr:colOff>274320</xdr:colOff>
      <xdr:row>159</xdr:row>
      <xdr:rowOff>13680</xdr:rowOff>
    </xdr:from>
    <xdr:to>
      <xdr:col>15</xdr:col>
      <xdr:colOff>64080</xdr:colOff>
      <xdr:row>161</xdr:row>
      <xdr:rowOff>145800</xdr:rowOff>
    </xdr:to>
    <xdr:sp>
      <xdr:nvSpPr>
        <xdr:cNvPr id="14" name="Flecha: a la derecha con bandas 37"/>
        <xdr:cNvSpPr/>
      </xdr:nvSpPr>
      <xdr:spPr>
        <a:xfrm>
          <a:off x="6533640" y="31542840"/>
          <a:ext cx="153360" cy="51300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21</xdr:col>
      <xdr:colOff>182880</xdr:colOff>
      <xdr:row>159</xdr:row>
      <xdr:rowOff>6120</xdr:rowOff>
    </xdr:from>
    <xdr:to>
      <xdr:col>21</xdr:col>
      <xdr:colOff>353520</xdr:colOff>
      <xdr:row>161</xdr:row>
      <xdr:rowOff>138240</xdr:rowOff>
    </xdr:to>
    <xdr:sp>
      <xdr:nvSpPr>
        <xdr:cNvPr id="15" name="Flecha: a la derecha con bandas 41"/>
        <xdr:cNvSpPr/>
      </xdr:nvSpPr>
      <xdr:spPr>
        <a:xfrm>
          <a:off x="9097560" y="31535280"/>
          <a:ext cx="170640" cy="51300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13</xdr:col>
      <xdr:colOff>281880</xdr:colOff>
      <xdr:row>302</xdr:row>
      <xdr:rowOff>93960</xdr:rowOff>
    </xdr:from>
    <xdr:to>
      <xdr:col>15</xdr:col>
      <xdr:colOff>151200</xdr:colOff>
      <xdr:row>305</xdr:row>
      <xdr:rowOff>184680</xdr:rowOff>
    </xdr:to>
    <xdr:sp>
      <xdr:nvSpPr>
        <xdr:cNvPr id="16" name="Flecha: a la derecha con bandas 42"/>
        <xdr:cNvSpPr/>
      </xdr:nvSpPr>
      <xdr:spPr>
        <a:xfrm>
          <a:off x="6088320" y="58691160"/>
          <a:ext cx="685800" cy="66204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6</xdr:col>
      <xdr:colOff>122040</xdr:colOff>
      <xdr:row>316</xdr:row>
      <xdr:rowOff>93960</xdr:rowOff>
    </xdr:from>
    <xdr:to>
      <xdr:col>7</xdr:col>
      <xdr:colOff>263520</xdr:colOff>
      <xdr:row>319</xdr:row>
      <xdr:rowOff>28440</xdr:rowOff>
    </xdr:to>
    <xdr:pic>
      <xdr:nvPicPr>
        <xdr:cNvPr id="17" name="Imagen 43" descr=""/>
        <xdr:cNvPicPr/>
      </xdr:nvPicPr>
      <xdr:blipFill>
        <a:blip r:embed="rId10"/>
        <a:stretch/>
      </xdr:blipFill>
      <xdr:spPr>
        <a:xfrm>
          <a:off x="2957400" y="61472520"/>
          <a:ext cx="523800" cy="505800"/>
        </a:xfrm>
        <a:prstGeom prst="rect">
          <a:avLst/>
        </a:prstGeom>
        <a:ln w="0">
          <a:noFill/>
        </a:ln>
      </xdr:spPr>
    </xdr:pic>
    <xdr:clientData/>
  </xdr:twoCellAnchor>
  <xdr:twoCellAnchor editAs="oneCell">
    <xdr:from>
      <xdr:col>22</xdr:col>
      <xdr:colOff>259200</xdr:colOff>
      <xdr:row>316</xdr:row>
      <xdr:rowOff>55800</xdr:rowOff>
    </xdr:from>
    <xdr:to>
      <xdr:col>23</xdr:col>
      <xdr:colOff>408240</xdr:colOff>
      <xdr:row>318</xdr:row>
      <xdr:rowOff>161640</xdr:rowOff>
    </xdr:to>
    <xdr:pic>
      <xdr:nvPicPr>
        <xdr:cNvPr id="18" name="Imagen 45" descr=""/>
        <xdr:cNvPicPr/>
      </xdr:nvPicPr>
      <xdr:blipFill>
        <a:blip r:embed="rId11"/>
        <a:stretch/>
      </xdr:blipFill>
      <xdr:spPr>
        <a:xfrm>
          <a:off x="9573840" y="61434360"/>
          <a:ext cx="531360" cy="486720"/>
        </a:xfrm>
        <a:prstGeom prst="rect">
          <a:avLst/>
        </a:prstGeom>
        <a:ln w="0">
          <a:noFill/>
        </a:ln>
      </xdr:spPr>
    </xdr:pic>
    <xdr:clientData/>
  </xdr:twoCellAnchor>
  <xdr:twoCellAnchor editAs="oneCell">
    <xdr:from>
      <xdr:col>14</xdr:col>
      <xdr:colOff>99000</xdr:colOff>
      <xdr:row>316</xdr:row>
      <xdr:rowOff>139680</xdr:rowOff>
    </xdr:from>
    <xdr:to>
      <xdr:col>15</xdr:col>
      <xdr:colOff>249840</xdr:colOff>
      <xdr:row>319</xdr:row>
      <xdr:rowOff>62640</xdr:rowOff>
    </xdr:to>
    <xdr:pic>
      <xdr:nvPicPr>
        <xdr:cNvPr id="19" name="Imagen 47" descr=""/>
        <xdr:cNvPicPr/>
      </xdr:nvPicPr>
      <xdr:blipFill>
        <a:blip r:embed="rId12"/>
        <a:stretch/>
      </xdr:blipFill>
      <xdr:spPr>
        <a:xfrm>
          <a:off x="6358320" y="61518240"/>
          <a:ext cx="514440" cy="494280"/>
        </a:xfrm>
        <a:prstGeom prst="rect">
          <a:avLst/>
        </a:prstGeom>
        <a:ln w="0">
          <a:noFill/>
        </a:ln>
      </xdr:spPr>
    </xdr:pic>
    <xdr:clientData/>
  </xdr:twoCellAnchor>
  <xdr:twoCellAnchor editAs="twoCell">
    <xdr:from>
      <xdr:col>2</xdr:col>
      <xdr:colOff>53280</xdr:colOff>
      <xdr:row>333</xdr:row>
      <xdr:rowOff>185400</xdr:rowOff>
    </xdr:from>
    <xdr:to>
      <xdr:col>5</xdr:col>
      <xdr:colOff>82800</xdr:colOff>
      <xdr:row>336</xdr:row>
      <xdr:rowOff>39600</xdr:rowOff>
    </xdr:to>
    <xdr:sp>
      <xdr:nvSpPr>
        <xdr:cNvPr id="20" name="Flecha: a la derecha con bandas 48"/>
        <xdr:cNvSpPr/>
      </xdr:nvSpPr>
      <xdr:spPr>
        <a:xfrm>
          <a:off x="1181520" y="64802520"/>
          <a:ext cx="1328400" cy="42552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5</xdr:col>
      <xdr:colOff>114480</xdr:colOff>
      <xdr:row>269</xdr:row>
      <xdr:rowOff>38880</xdr:rowOff>
    </xdr:from>
    <xdr:to>
      <xdr:col>8</xdr:col>
      <xdr:colOff>166680</xdr:colOff>
      <xdr:row>277</xdr:row>
      <xdr:rowOff>29880</xdr:rowOff>
    </xdr:to>
    <xdr:pic>
      <xdr:nvPicPr>
        <xdr:cNvPr id="21" name="Imagen 51" descr=""/>
        <xdr:cNvPicPr/>
      </xdr:nvPicPr>
      <xdr:blipFill>
        <a:blip r:embed="rId13"/>
        <a:stretch/>
      </xdr:blipFill>
      <xdr:spPr>
        <a:xfrm>
          <a:off x="2541600" y="52349400"/>
          <a:ext cx="1269360" cy="1515240"/>
        </a:xfrm>
        <a:prstGeom prst="rect">
          <a:avLst/>
        </a:prstGeom>
        <a:ln w="0">
          <a:noFill/>
        </a:ln>
      </xdr:spPr>
    </xdr:pic>
    <xdr:clientData/>
  </xdr:twoCellAnchor>
  <xdr:twoCellAnchor editAs="oneCell">
    <xdr:from>
      <xdr:col>29</xdr:col>
      <xdr:colOff>34200</xdr:colOff>
      <xdr:row>328</xdr:row>
      <xdr:rowOff>63360</xdr:rowOff>
    </xdr:from>
    <xdr:to>
      <xdr:col>33</xdr:col>
      <xdr:colOff>284760</xdr:colOff>
      <xdr:row>332</xdr:row>
      <xdr:rowOff>106560</xdr:rowOff>
    </xdr:to>
    <xdr:pic>
      <xdr:nvPicPr>
        <xdr:cNvPr id="22" name="Imagen 74" descr=""/>
        <xdr:cNvPicPr/>
      </xdr:nvPicPr>
      <xdr:blipFill>
        <a:blip r:embed="rId14"/>
        <a:stretch/>
      </xdr:blipFill>
      <xdr:spPr>
        <a:xfrm>
          <a:off x="11968920" y="63727920"/>
          <a:ext cx="1824840" cy="804960"/>
        </a:xfrm>
        <a:prstGeom prst="rect">
          <a:avLst/>
        </a:prstGeom>
        <a:ln w="0">
          <a:noFill/>
        </a:ln>
      </xdr:spPr>
    </xdr:pic>
    <xdr:clientData/>
  </xdr:twoCellAnchor>
  <xdr:twoCellAnchor editAs="twoCell">
    <xdr:from>
      <xdr:col>2</xdr:col>
      <xdr:colOff>335160</xdr:colOff>
      <xdr:row>135</xdr:row>
      <xdr:rowOff>116640</xdr:rowOff>
    </xdr:from>
    <xdr:to>
      <xdr:col>4</xdr:col>
      <xdr:colOff>303480</xdr:colOff>
      <xdr:row>137</xdr:row>
      <xdr:rowOff>93240</xdr:rowOff>
    </xdr:to>
    <xdr:sp>
      <xdr:nvSpPr>
        <xdr:cNvPr id="23" name="Flecha: a la derecha con bandas 66"/>
        <xdr:cNvSpPr/>
      </xdr:nvSpPr>
      <xdr:spPr>
        <a:xfrm>
          <a:off x="1463400" y="26955720"/>
          <a:ext cx="840240" cy="35748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0</xdr:col>
      <xdr:colOff>83880</xdr:colOff>
      <xdr:row>350</xdr:row>
      <xdr:rowOff>5040</xdr:rowOff>
    </xdr:from>
    <xdr:to>
      <xdr:col>3</xdr:col>
      <xdr:colOff>223920</xdr:colOff>
      <xdr:row>357</xdr:row>
      <xdr:rowOff>64800</xdr:rowOff>
    </xdr:to>
    <xdr:pic>
      <xdr:nvPicPr>
        <xdr:cNvPr id="24" name="Imagen 157" descr=""/>
        <xdr:cNvPicPr/>
      </xdr:nvPicPr>
      <xdr:blipFill>
        <a:blip r:embed="rId15"/>
        <a:stretch/>
      </xdr:blipFill>
      <xdr:spPr>
        <a:xfrm>
          <a:off x="83880" y="68010480"/>
          <a:ext cx="1713600" cy="1393200"/>
        </a:xfrm>
        <a:prstGeom prst="rect">
          <a:avLst/>
        </a:prstGeom>
        <a:ln w="0">
          <a:noFill/>
        </a:ln>
      </xdr:spPr>
    </xdr:pic>
    <xdr:clientData/>
  </xdr:twoCellAnchor>
  <xdr:twoCellAnchor editAs="twoCell">
    <xdr:from>
      <xdr:col>7</xdr:col>
      <xdr:colOff>175320</xdr:colOff>
      <xdr:row>367</xdr:row>
      <xdr:rowOff>134640</xdr:rowOff>
    </xdr:from>
    <xdr:to>
      <xdr:col>9</xdr:col>
      <xdr:colOff>44640</xdr:colOff>
      <xdr:row>371</xdr:row>
      <xdr:rowOff>34920</xdr:rowOff>
    </xdr:to>
    <xdr:sp>
      <xdr:nvSpPr>
        <xdr:cNvPr id="25" name="Flecha: a la derecha con bandas 159"/>
        <xdr:cNvSpPr/>
      </xdr:nvSpPr>
      <xdr:spPr>
        <a:xfrm>
          <a:off x="3393000" y="71692920"/>
          <a:ext cx="678240" cy="66204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16</xdr:col>
      <xdr:colOff>0</xdr:colOff>
      <xdr:row>368</xdr:row>
      <xdr:rowOff>12600</xdr:rowOff>
    </xdr:from>
    <xdr:to>
      <xdr:col>18</xdr:col>
      <xdr:colOff>44640</xdr:colOff>
      <xdr:row>371</xdr:row>
      <xdr:rowOff>95760</xdr:rowOff>
    </xdr:to>
    <xdr:sp>
      <xdr:nvSpPr>
        <xdr:cNvPr id="26" name="Flecha: a la derecha con bandas 160"/>
        <xdr:cNvSpPr/>
      </xdr:nvSpPr>
      <xdr:spPr>
        <a:xfrm>
          <a:off x="7058160" y="71761320"/>
          <a:ext cx="772920" cy="65448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7</xdr:col>
      <xdr:colOff>0</xdr:colOff>
      <xdr:row>384</xdr:row>
      <xdr:rowOff>12600</xdr:rowOff>
    </xdr:from>
    <xdr:to>
      <xdr:col>8</xdr:col>
      <xdr:colOff>93600</xdr:colOff>
      <xdr:row>386</xdr:row>
      <xdr:rowOff>126360</xdr:rowOff>
    </xdr:to>
    <xdr:pic>
      <xdr:nvPicPr>
        <xdr:cNvPr id="27" name="Imagen 161" descr=""/>
        <xdr:cNvPicPr/>
      </xdr:nvPicPr>
      <xdr:blipFill>
        <a:blip r:embed="rId16"/>
        <a:stretch/>
      </xdr:blipFill>
      <xdr:spPr>
        <a:xfrm>
          <a:off x="3217680" y="74904480"/>
          <a:ext cx="520200" cy="494640"/>
        </a:xfrm>
        <a:prstGeom prst="rect">
          <a:avLst/>
        </a:prstGeom>
        <a:ln w="0">
          <a:noFill/>
        </a:ln>
      </xdr:spPr>
    </xdr:pic>
    <xdr:clientData/>
  </xdr:twoCellAnchor>
  <xdr:twoCellAnchor editAs="oneCell">
    <xdr:from>
      <xdr:col>16</xdr:col>
      <xdr:colOff>68760</xdr:colOff>
      <xdr:row>383</xdr:row>
      <xdr:rowOff>127080</xdr:rowOff>
    </xdr:from>
    <xdr:to>
      <xdr:col>17</xdr:col>
      <xdr:colOff>263520</xdr:colOff>
      <xdr:row>386</xdr:row>
      <xdr:rowOff>65520</xdr:rowOff>
    </xdr:to>
    <xdr:pic>
      <xdr:nvPicPr>
        <xdr:cNvPr id="28" name="Imagen 162" descr=""/>
        <xdr:cNvPicPr/>
      </xdr:nvPicPr>
      <xdr:blipFill>
        <a:blip r:embed="rId17"/>
        <a:stretch/>
      </xdr:blipFill>
      <xdr:spPr>
        <a:xfrm>
          <a:off x="7126920" y="74828520"/>
          <a:ext cx="514800" cy="509760"/>
        </a:xfrm>
        <a:prstGeom prst="rect">
          <a:avLst/>
        </a:prstGeom>
        <a:ln w="0">
          <a:noFill/>
        </a:ln>
      </xdr:spPr>
    </xdr:pic>
    <xdr:clientData/>
  </xdr:twoCellAnchor>
  <xdr:twoCellAnchor editAs="oneCell">
    <xdr:from>
      <xdr:col>25</xdr:col>
      <xdr:colOff>0</xdr:colOff>
      <xdr:row>384</xdr:row>
      <xdr:rowOff>12600</xdr:rowOff>
    </xdr:from>
    <xdr:to>
      <xdr:col>26</xdr:col>
      <xdr:colOff>129240</xdr:colOff>
      <xdr:row>386</xdr:row>
      <xdr:rowOff>107280</xdr:rowOff>
    </xdr:to>
    <xdr:pic>
      <xdr:nvPicPr>
        <xdr:cNvPr id="29" name="Imagen 163" descr=""/>
        <xdr:cNvPicPr/>
      </xdr:nvPicPr>
      <xdr:blipFill>
        <a:blip r:embed="rId18"/>
        <a:stretch/>
      </xdr:blipFill>
      <xdr:spPr>
        <a:xfrm>
          <a:off x="10460520" y="74904480"/>
          <a:ext cx="466920" cy="475560"/>
        </a:xfrm>
        <a:prstGeom prst="rect">
          <a:avLst/>
        </a:prstGeom>
        <a:ln w="0">
          <a:noFill/>
        </a:ln>
      </xdr:spPr>
    </xdr:pic>
    <xdr:clientData/>
  </xdr:twoCellAnchor>
  <xdr:twoCellAnchor editAs="twoCell">
    <xdr:from>
      <xdr:col>2</xdr:col>
      <xdr:colOff>53280</xdr:colOff>
      <xdr:row>401</xdr:row>
      <xdr:rowOff>35640</xdr:rowOff>
    </xdr:from>
    <xdr:to>
      <xdr:col>5</xdr:col>
      <xdr:colOff>82800</xdr:colOff>
      <xdr:row>403</xdr:row>
      <xdr:rowOff>80640</xdr:rowOff>
    </xdr:to>
    <xdr:sp>
      <xdr:nvSpPr>
        <xdr:cNvPr id="30" name="Flecha: a la derecha con bandas 164"/>
        <xdr:cNvSpPr/>
      </xdr:nvSpPr>
      <xdr:spPr>
        <a:xfrm>
          <a:off x="1181520" y="78166080"/>
          <a:ext cx="1328400" cy="42588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25</xdr:col>
      <xdr:colOff>99000</xdr:colOff>
      <xdr:row>407</xdr:row>
      <xdr:rowOff>27720</xdr:rowOff>
    </xdr:from>
    <xdr:to>
      <xdr:col>33</xdr:col>
      <xdr:colOff>168840</xdr:colOff>
      <xdr:row>414</xdr:row>
      <xdr:rowOff>167760</xdr:rowOff>
    </xdr:to>
    <xdr:pic>
      <xdr:nvPicPr>
        <xdr:cNvPr id="31" name="Imagen 165" descr=""/>
        <xdr:cNvPicPr/>
      </xdr:nvPicPr>
      <xdr:blipFill>
        <a:blip r:embed="rId19"/>
        <a:stretch/>
      </xdr:blipFill>
      <xdr:spPr>
        <a:xfrm>
          <a:off x="10559520" y="79301160"/>
          <a:ext cx="3118320" cy="1593360"/>
        </a:xfrm>
        <a:prstGeom prst="rect">
          <a:avLst/>
        </a:prstGeom>
        <a:ln w="0">
          <a:noFill/>
        </a:ln>
      </xdr:spPr>
    </xdr:pic>
    <xdr:clientData/>
  </xdr:twoCellAnchor>
  <xdr:twoCellAnchor editAs="oneCell">
    <xdr:from>
      <xdr:col>0</xdr:col>
      <xdr:colOff>0</xdr:colOff>
      <xdr:row>419</xdr:row>
      <xdr:rowOff>96480</xdr:rowOff>
    </xdr:from>
    <xdr:to>
      <xdr:col>3</xdr:col>
      <xdr:colOff>128520</xdr:colOff>
      <xdr:row>426</xdr:row>
      <xdr:rowOff>83880</xdr:rowOff>
    </xdr:to>
    <xdr:pic>
      <xdr:nvPicPr>
        <xdr:cNvPr id="32" name="Imagen 166" descr=""/>
        <xdr:cNvPicPr/>
      </xdr:nvPicPr>
      <xdr:blipFill>
        <a:blip r:embed="rId20"/>
        <a:stretch/>
      </xdr:blipFill>
      <xdr:spPr>
        <a:xfrm>
          <a:off x="0" y="81775800"/>
          <a:ext cx="1702080" cy="1320840"/>
        </a:xfrm>
        <a:prstGeom prst="rect">
          <a:avLst/>
        </a:prstGeom>
        <a:ln w="0">
          <a:noFill/>
        </a:ln>
      </xdr:spPr>
    </xdr:pic>
    <xdr:clientData/>
  </xdr:twoCellAnchor>
  <xdr:twoCellAnchor editAs="twoCell">
    <xdr:from>
      <xdr:col>7</xdr:col>
      <xdr:colOff>175320</xdr:colOff>
      <xdr:row>437</xdr:row>
      <xdr:rowOff>157680</xdr:rowOff>
    </xdr:from>
    <xdr:to>
      <xdr:col>9</xdr:col>
      <xdr:colOff>44640</xdr:colOff>
      <xdr:row>441</xdr:row>
      <xdr:rowOff>57600</xdr:rowOff>
    </xdr:to>
    <xdr:sp>
      <xdr:nvSpPr>
        <xdr:cNvPr id="33" name="Flecha: a la derecha con bandas 167"/>
        <xdr:cNvSpPr/>
      </xdr:nvSpPr>
      <xdr:spPr>
        <a:xfrm>
          <a:off x="3393000" y="85351680"/>
          <a:ext cx="678240" cy="66204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16</xdr:col>
      <xdr:colOff>0</xdr:colOff>
      <xdr:row>438</xdr:row>
      <xdr:rowOff>35280</xdr:rowOff>
    </xdr:from>
    <xdr:to>
      <xdr:col>18</xdr:col>
      <xdr:colOff>44640</xdr:colOff>
      <xdr:row>441</xdr:row>
      <xdr:rowOff>118440</xdr:rowOff>
    </xdr:to>
    <xdr:sp>
      <xdr:nvSpPr>
        <xdr:cNvPr id="34" name="Flecha: a la derecha con bandas 168"/>
        <xdr:cNvSpPr/>
      </xdr:nvSpPr>
      <xdr:spPr>
        <a:xfrm>
          <a:off x="7058160" y="85420080"/>
          <a:ext cx="772920" cy="65448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7</xdr:col>
      <xdr:colOff>0</xdr:colOff>
      <xdr:row>454</xdr:row>
      <xdr:rowOff>35640</xdr:rowOff>
    </xdr:from>
    <xdr:to>
      <xdr:col>8</xdr:col>
      <xdr:colOff>42480</xdr:colOff>
      <xdr:row>456</xdr:row>
      <xdr:rowOff>148680</xdr:rowOff>
    </xdr:to>
    <xdr:pic>
      <xdr:nvPicPr>
        <xdr:cNvPr id="35" name="Imagen 169" descr=""/>
        <xdr:cNvPicPr/>
      </xdr:nvPicPr>
      <xdr:blipFill>
        <a:blip r:embed="rId21"/>
        <a:stretch/>
      </xdr:blipFill>
      <xdr:spPr>
        <a:xfrm>
          <a:off x="3217680" y="88639560"/>
          <a:ext cx="469080" cy="494280"/>
        </a:xfrm>
        <a:prstGeom prst="rect">
          <a:avLst/>
        </a:prstGeom>
        <a:ln w="0">
          <a:noFill/>
        </a:ln>
      </xdr:spPr>
    </xdr:pic>
    <xdr:clientData/>
  </xdr:twoCellAnchor>
  <xdr:twoCellAnchor editAs="oneCell">
    <xdr:from>
      <xdr:col>16</xdr:col>
      <xdr:colOff>68760</xdr:colOff>
      <xdr:row>453</xdr:row>
      <xdr:rowOff>150120</xdr:rowOff>
    </xdr:from>
    <xdr:to>
      <xdr:col>17</xdr:col>
      <xdr:colOff>217800</xdr:colOff>
      <xdr:row>456</xdr:row>
      <xdr:rowOff>80280</xdr:rowOff>
    </xdr:to>
    <xdr:pic>
      <xdr:nvPicPr>
        <xdr:cNvPr id="36" name="Imagen 170" descr=""/>
        <xdr:cNvPicPr/>
      </xdr:nvPicPr>
      <xdr:blipFill>
        <a:blip r:embed="rId22"/>
        <a:stretch/>
      </xdr:blipFill>
      <xdr:spPr>
        <a:xfrm>
          <a:off x="7126920" y="88563600"/>
          <a:ext cx="469080" cy="501840"/>
        </a:xfrm>
        <a:prstGeom prst="rect">
          <a:avLst/>
        </a:prstGeom>
        <a:ln w="0">
          <a:noFill/>
        </a:ln>
      </xdr:spPr>
    </xdr:pic>
    <xdr:clientData/>
  </xdr:twoCellAnchor>
  <xdr:twoCellAnchor editAs="oneCell">
    <xdr:from>
      <xdr:col>25</xdr:col>
      <xdr:colOff>0</xdr:colOff>
      <xdr:row>454</xdr:row>
      <xdr:rowOff>35640</xdr:rowOff>
    </xdr:from>
    <xdr:to>
      <xdr:col>26</xdr:col>
      <xdr:colOff>77040</xdr:colOff>
      <xdr:row>456</xdr:row>
      <xdr:rowOff>133560</xdr:rowOff>
    </xdr:to>
    <xdr:pic>
      <xdr:nvPicPr>
        <xdr:cNvPr id="37" name="Imagen 171" descr=""/>
        <xdr:cNvPicPr/>
      </xdr:nvPicPr>
      <xdr:blipFill>
        <a:blip r:embed="rId23"/>
        <a:stretch/>
      </xdr:blipFill>
      <xdr:spPr>
        <a:xfrm>
          <a:off x="10460520" y="88639560"/>
          <a:ext cx="414720" cy="479160"/>
        </a:xfrm>
        <a:prstGeom prst="rect">
          <a:avLst/>
        </a:prstGeom>
        <a:ln w="0">
          <a:noFill/>
        </a:ln>
      </xdr:spPr>
    </xdr:pic>
    <xdr:clientData/>
  </xdr:twoCellAnchor>
  <xdr:twoCellAnchor editAs="twoCell">
    <xdr:from>
      <xdr:col>1</xdr:col>
      <xdr:colOff>53280</xdr:colOff>
      <xdr:row>471</xdr:row>
      <xdr:rowOff>58680</xdr:rowOff>
    </xdr:from>
    <xdr:to>
      <xdr:col>4</xdr:col>
      <xdr:colOff>82800</xdr:colOff>
      <xdr:row>473</xdr:row>
      <xdr:rowOff>102960</xdr:rowOff>
    </xdr:to>
    <xdr:sp>
      <xdr:nvSpPr>
        <xdr:cNvPr id="38" name="Flecha: a la derecha con bandas 172"/>
        <xdr:cNvSpPr/>
      </xdr:nvSpPr>
      <xdr:spPr>
        <a:xfrm>
          <a:off x="586800" y="91901160"/>
          <a:ext cx="1496160" cy="42552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32</xdr:col>
      <xdr:colOff>217080</xdr:colOff>
      <xdr:row>472</xdr:row>
      <xdr:rowOff>138600</xdr:rowOff>
    </xdr:from>
    <xdr:to>
      <xdr:col>41</xdr:col>
      <xdr:colOff>14040</xdr:colOff>
      <xdr:row>481</xdr:row>
      <xdr:rowOff>75240</xdr:rowOff>
    </xdr:to>
    <xdr:pic>
      <xdr:nvPicPr>
        <xdr:cNvPr id="39" name="Imagen 173" descr=""/>
        <xdr:cNvPicPr/>
      </xdr:nvPicPr>
      <xdr:blipFill>
        <a:blip r:embed="rId24"/>
        <a:stretch/>
      </xdr:blipFill>
      <xdr:spPr>
        <a:xfrm>
          <a:off x="13308120" y="92171520"/>
          <a:ext cx="3334680" cy="1771200"/>
        </a:xfrm>
        <a:prstGeom prst="rect">
          <a:avLst/>
        </a:prstGeom>
        <a:ln w="0">
          <a:noFill/>
        </a:ln>
      </xdr:spPr>
    </xdr:pic>
    <xdr:clientData/>
  </xdr:twoCellAnchor>
  <xdr:twoCellAnchor editAs="twoCell">
    <xdr:from>
      <xdr:col>1</xdr:col>
      <xdr:colOff>38160</xdr:colOff>
      <xdr:row>481</xdr:row>
      <xdr:rowOff>68040</xdr:rowOff>
    </xdr:from>
    <xdr:to>
      <xdr:col>6</xdr:col>
      <xdr:colOff>18000</xdr:colOff>
      <xdr:row>486</xdr:row>
      <xdr:rowOff>126720</xdr:rowOff>
    </xdr:to>
    <xdr:sp>
      <xdr:nvSpPr>
        <xdr:cNvPr id="40" name="Flecha: hacia abajo 149"/>
        <xdr:cNvSpPr/>
      </xdr:nvSpPr>
      <xdr:spPr>
        <a:xfrm>
          <a:off x="571680" y="93935520"/>
          <a:ext cx="2281680" cy="1011240"/>
        </a:xfrm>
        <a:prstGeom prst="down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0</xdr:col>
      <xdr:colOff>0</xdr:colOff>
      <xdr:row>494</xdr:row>
      <xdr:rowOff>30600</xdr:rowOff>
    </xdr:from>
    <xdr:to>
      <xdr:col>3</xdr:col>
      <xdr:colOff>33120</xdr:colOff>
      <xdr:row>502</xdr:row>
      <xdr:rowOff>17640</xdr:rowOff>
    </xdr:to>
    <xdr:pic>
      <xdr:nvPicPr>
        <xdr:cNvPr id="41" name="Imagen 233" descr=""/>
        <xdr:cNvPicPr/>
      </xdr:nvPicPr>
      <xdr:blipFill>
        <a:blip r:embed="rId25"/>
        <a:stretch/>
      </xdr:blipFill>
      <xdr:spPr>
        <a:xfrm>
          <a:off x="0" y="96404400"/>
          <a:ext cx="1606680" cy="1577880"/>
        </a:xfrm>
        <a:prstGeom prst="rect">
          <a:avLst/>
        </a:prstGeom>
        <a:ln w="0">
          <a:noFill/>
        </a:ln>
      </xdr:spPr>
    </xdr:pic>
    <xdr:clientData/>
  </xdr:twoCellAnchor>
  <xdr:twoCellAnchor editAs="twoCell">
    <xdr:from>
      <xdr:col>4</xdr:col>
      <xdr:colOff>95400</xdr:colOff>
      <xdr:row>34</xdr:row>
      <xdr:rowOff>19080</xdr:rowOff>
    </xdr:from>
    <xdr:to>
      <xdr:col>4</xdr:col>
      <xdr:colOff>332280</xdr:colOff>
      <xdr:row>35</xdr:row>
      <xdr:rowOff>37080</xdr:rowOff>
    </xdr:to>
    <xdr:sp>
      <xdr:nvSpPr>
        <xdr:cNvPr id="42" name="Es igual a 150"/>
        <xdr:cNvSpPr/>
      </xdr:nvSpPr>
      <xdr:spPr>
        <a:xfrm>
          <a:off x="2095560" y="7334280"/>
          <a:ext cx="236880" cy="208440"/>
        </a:xfrm>
        <a:prstGeom prst="mathEqual">
          <a:avLst>
            <a:gd name="adj1" fmla="val 23520"/>
            <a:gd name="adj2" fmla="val 1176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12</xdr:col>
      <xdr:colOff>7560</xdr:colOff>
      <xdr:row>492</xdr:row>
      <xdr:rowOff>145080</xdr:rowOff>
    </xdr:from>
    <xdr:to>
      <xdr:col>12</xdr:col>
      <xdr:colOff>273240</xdr:colOff>
      <xdr:row>493</xdr:row>
      <xdr:rowOff>182160</xdr:rowOff>
    </xdr:to>
    <xdr:sp>
      <xdr:nvSpPr>
        <xdr:cNvPr id="43" name="Flecha: a la derecha 151"/>
        <xdr:cNvSpPr/>
      </xdr:nvSpPr>
      <xdr:spPr>
        <a:xfrm>
          <a:off x="5306760" y="96138000"/>
          <a:ext cx="265680" cy="227520"/>
        </a:xfrm>
        <a:prstGeom prst="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19</xdr:col>
      <xdr:colOff>99000</xdr:colOff>
      <xdr:row>500</xdr:row>
      <xdr:rowOff>121680</xdr:rowOff>
    </xdr:from>
    <xdr:to>
      <xdr:col>20</xdr:col>
      <xdr:colOff>150120</xdr:colOff>
      <xdr:row>503</xdr:row>
      <xdr:rowOff>33120</xdr:rowOff>
    </xdr:to>
    <xdr:pic>
      <xdr:nvPicPr>
        <xdr:cNvPr id="44" name="Imagen 236" descr=""/>
        <xdr:cNvPicPr/>
      </xdr:nvPicPr>
      <xdr:blipFill>
        <a:blip r:embed="rId26"/>
        <a:stretch/>
      </xdr:blipFill>
      <xdr:spPr>
        <a:xfrm>
          <a:off x="8213760" y="97705440"/>
          <a:ext cx="468720" cy="482760"/>
        </a:xfrm>
        <a:prstGeom prst="rect">
          <a:avLst/>
        </a:prstGeom>
        <a:ln w="0">
          <a:noFill/>
        </a:ln>
      </xdr:spPr>
    </xdr:pic>
    <xdr:clientData/>
  </xdr:twoCellAnchor>
  <xdr:twoCellAnchor editAs="oneCell">
    <xdr:from>
      <xdr:col>10</xdr:col>
      <xdr:colOff>228600</xdr:colOff>
      <xdr:row>500</xdr:row>
      <xdr:rowOff>152280</xdr:rowOff>
    </xdr:from>
    <xdr:to>
      <xdr:col>11</xdr:col>
      <xdr:colOff>315360</xdr:colOff>
      <xdr:row>503</xdr:row>
      <xdr:rowOff>63720</xdr:rowOff>
    </xdr:to>
    <xdr:pic>
      <xdr:nvPicPr>
        <xdr:cNvPr id="45" name="Imagen 237" descr=""/>
        <xdr:cNvPicPr/>
      </xdr:nvPicPr>
      <xdr:blipFill>
        <a:blip r:embed="rId27"/>
        <a:stretch/>
      </xdr:blipFill>
      <xdr:spPr>
        <a:xfrm>
          <a:off x="4700160" y="97736040"/>
          <a:ext cx="469080" cy="482760"/>
        </a:xfrm>
        <a:prstGeom prst="rect">
          <a:avLst/>
        </a:prstGeom>
        <a:ln w="0">
          <a:noFill/>
        </a:ln>
      </xdr:spPr>
    </xdr:pic>
    <xdr:clientData/>
  </xdr:twoCellAnchor>
  <xdr:twoCellAnchor editAs="twoCell">
    <xdr:from>
      <xdr:col>27</xdr:col>
      <xdr:colOff>91440</xdr:colOff>
      <xdr:row>501</xdr:row>
      <xdr:rowOff>0</xdr:rowOff>
    </xdr:from>
    <xdr:to>
      <xdr:col>29</xdr:col>
      <xdr:colOff>181800</xdr:colOff>
      <xdr:row>503</xdr:row>
      <xdr:rowOff>182160</xdr:rowOff>
    </xdr:to>
    <xdr:sp>
      <xdr:nvSpPr>
        <xdr:cNvPr id="46" name="Es igual a 152"/>
        <xdr:cNvSpPr/>
      </xdr:nvSpPr>
      <xdr:spPr>
        <a:xfrm>
          <a:off x="11209680" y="97774200"/>
          <a:ext cx="906840" cy="563040"/>
        </a:xfrm>
        <a:prstGeom prst="mathEqual">
          <a:avLst>
            <a:gd name="adj1" fmla="val 23520"/>
            <a:gd name="adj2" fmla="val 11760"/>
          </a:avLst>
        </a:prstGeom>
        <a:solidFill>
          <a:srgbClr val="a6a6a6"/>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36</xdr:col>
      <xdr:colOff>152280</xdr:colOff>
      <xdr:row>493</xdr:row>
      <xdr:rowOff>23040</xdr:rowOff>
    </xdr:from>
    <xdr:to>
      <xdr:col>37</xdr:col>
      <xdr:colOff>204480</xdr:colOff>
      <xdr:row>495</xdr:row>
      <xdr:rowOff>44640</xdr:rowOff>
    </xdr:to>
    <xdr:sp>
      <xdr:nvSpPr>
        <xdr:cNvPr id="47" name="Flecha: hacia abajo 239"/>
        <xdr:cNvSpPr/>
      </xdr:nvSpPr>
      <xdr:spPr>
        <a:xfrm>
          <a:off x="14825880" y="96206400"/>
          <a:ext cx="434520" cy="402840"/>
        </a:xfrm>
        <a:prstGeom prst="down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30</xdr:col>
      <xdr:colOff>0</xdr:colOff>
      <xdr:row>492</xdr:row>
      <xdr:rowOff>152640</xdr:rowOff>
    </xdr:from>
    <xdr:to>
      <xdr:col>30</xdr:col>
      <xdr:colOff>265680</xdr:colOff>
      <xdr:row>493</xdr:row>
      <xdr:rowOff>189720</xdr:rowOff>
    </xdr:to>
    <xdr:sp>
      <xdr:nvSpPr>
        <xdr:cNvPr id="48" name="Flecha: a la derecha 240"/>
        <xdr:cNvSpPr/>
      </xdr:nvSpPr>
      <xdr:spPr>
        <a:xfrm>
          <a:off x="12308040" y="96145560"/>
          <a:ext cx="265680" cy="227520"/>
        </a:xfrm>
        <a:prstGeom prst="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xdr:col>
      <xdr:colOff>53280</xdr:colOff>
      <xdr:row>517</xdr:row>
      <xdr:rowOff>160200</xdr:rowOff>
    </xdr:from>
    <xdr:to>
      <xdr:col>4</xdr:col>
      <xdr:colOff>82800</xdr:colOff>
      <xdr:row>520</xdr:row>
      <xdr:rowOff>14040</xdr:rowOff>
    </xdr:to>
    <xdr:sp>
      <xdr:nvSpPr>
        <xdr:cNvPr id="49" name="Flecha: a la derecha con bandas 241"/>
        <xdr:cNvSpPr/>
      </xdr:nvSpPr>
      <xdr:spPr>
        <a:xfrm>
          <a:off x="586800" y="100982160"/>
          <a:ext cx="1496160" cy="42552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0</xdr:col>
      <xdr:colOff>0</xdr:colOff>
      <xdr:row>527</xdr:row>
      <xdr:rowOff>83880</xdr:rowOff>
    </xdr:from>
    <xdr:to>
      <xdr:col>3</xdr:col>
      <xdr:colOff>128520</xdr:colOff>
      <xdr:row>535</xdr:row>
      <xdr:rowOff>91440</xdr:rowOff>
    </xdr:to>
    <xdr:pic>
      <xdr:nvPicPr>
        <xdr:cNvPr id="50" name="Imagen 242" descr=""/>
        <xdr:cNvPicPr/>
      </xdr:nvPicPr>
      <xdr:blipFill>
        <a:blip r:embed="rId28"/>
        <a:stretch/>
      </xdr:blipFill>
      <xdr:spPr>
        <a:xfrm>
          <a:off x="0" y="102810960"/>
          <a:ext cx="1702080" cy="1674360"/>
        </a:xfrm>
        <a:prstGeom prst="rect">
          <a:avLst/>
        </a:prstGeom>
        <a:ln w="0">
          <a:noFill/>
        </a:ln>
      </xdr:spPr>
    </xdr:pic>
    <xdr:clientData/>
  </xdr:twoCellAnchor>
  <xdr:twoCellAnchor editAs="twoCell">
    <xdr:from>
      <xdr:col>12</xdr:col>
      <xdr:colOff>7560</xdr:colOff>
      <xdr:row>527</xdr:row>
      <xdr:rowOff>145080</xdr:rowOff>
    </xdr:from>
    <xdr:to>
      <xdr:col>12</xdr:col>
      <xdr:colOff>273240</xdr:colOff>
      <xdr:row>528</xdr:row>
      <xdr:rowOff>182160</xdr:rowOff>
    </xdr:to>
    <xdr:sp>
      <xdr:nvSpPr>
        <xdr:cNvPr id="51" name="Flecha: a la derecha 94"/>
        <xdr:cNvSpPr/>
      </xdr:nvSpPr>
      <xdr:spPr>
        <a:xfrm>
          <a:off x="5306760" y="102872160"/>
          <a:ext cx="265680" cy="227520"/>
        </a:xfrm>
        <a:prstGeom prst="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36</xdr:col>
      <xdr:colOff>152280</xdr:colOff>
      <xdr:row>528</xdr:row>
      <xdr:rowOff>23040</xdr:rowOff>
    </xdr:from>
    <xdr:to>
      <xdr:col>37</xdr:col>
      <xdr:colOff>204480</xdr:colOff>
      <xdr:row>530</xdr:row>
      <xdr:rowOff>44640</xdr:rowOff>
    </xdr:to>
    <xdr:sp>
      <xdr:nvSpPr>
        <xdr:cNvPr id="52" name="Flecha: hacia abajo 95"/>
        <xdr:cNvSpPr/>
      </xdr:nvSpPr>
      <xdr:spPr>
        <a:xfrm>
          <a:off x="14825880" y="102940560"/>
          <a:ext cx="434520" cy="402840"/>
        </a:xfrm>
        <a:prstGeom prst="down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30</xdr:col>
      <xdr:colOff>0</xdr:colOff>
      <xdr:row>527</xdr:row>
      <xdr:rowOff>152640</xdr:rowOff>
    </xdr:from>
    <xdr:to>
      <xdr:col>30</xdr:col>
      <xdr:colOff>265680</xdr:colOff>
      <xdr:row>528</xdr:row>
      <xdr:rowOff>189720</xdr:rowOff>
    </xdr:to>
    <xdr:sp>
      <xdr:nvSpPr>
        <xdr:cNvPr id="53" name="Flecha: a la derecha 96"/>
        <xdr:cNvSpPr/>
      </xdr:nvSpPr>
      <xdr:spPr>
        <a:xfrm>
          <a:off x="12308040" y="102879720"/>
          <a:ext cx="265680" cy="227520"/>
        </a:xfrm>
        <a:prstGeom prst="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7</xdr:col>
      <xdr:colOff>182880</xdr:colOff>
      <xdr:row>494</xdr:row>
      <xdr:rowOff>129600</xdr:rowOff>
    </xdr:from>
    <xdr:to>
      <xdr:col>8</xdr:col>
      <xdr:colOff>212400</xdr:colOff>
      <xdr:row>496</xdr:row>
      <xdr:rowOff>61920</xdr:rowOff>
    </xdr:to>
    <xdr:sp>
      <xdr:nvSpPr>
        <xdr:cNvPr id="54" name="Flecha: hacia abajo 98"/>
        <xdr:cNvSpPr/>
      </xdr:nvSpPr>
      <xdr:spPr>
        <a:xfrm>
          <a:off x="3400560" y="96503400"/>
          <a:ext cx="456120" cy="303840"/>
        </a:xfrm>
        <a:prstGeom prst="down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6</xdr:col>
      <xdr:colOff>281880</xdr:colOff>
      <xdr:row>529</xdr:row>
      <xdr:rowOff>114480</xdr:rowOff>
    </xdr:from>
    <xdr:to>
      <xdr:col>7</xdr:col>
      <xdr:colOff>295920</xdr:colOff>
      <xdr:row>531</xdr:row>
      <xdr:rowOff>122760</xdr:rowOff>
    </xdr:to>
    <xdr:sp>
      <xdr:nvSpPr>
        <xdr:cNvPr id="55" name="Flecha: hacia abajo 99"/>
        <xdr:cNvSpPr/>
      </xdr:nvSpPr>
      <xdr:spPr>
        <a:xfrm>
          <a:off x="3117240" y="103222440"/>
          <a:ext cx="396360" cy="379800"/>
        </a:xfrm>
        <a:prstGeom prst="down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19</xdr:col>
      <xdr:colOff>129600</xdr:colOff>
      <xdr:row>535</xdr:row>
      <xdr:rowOff>83880</xdr:rowOff>
    </xdr:from>
    <xdr:to>
      <xdr:col>20</xdr:col>
      <xdr:colOff>180720</xdr:colOff>
      <xdr:row>537</xdr:row>
      <xdr:rowOff>185400</xdr:rowOff>
    </xdr:to>
    <xdr:pic>
      <xdr:nvPicPr>
        <xdr:cNvPr id="56" name="Imagen 106" descr=""/>
        <xdr:cNvPicPr/>
      </xdr:nvPicPr>
      <xdr:blipFill>
        <a:blip r:embed="rId29"/>
        <a:stretch/>
      </xdr:blipFill>
      <xdr:spPr>
        <a:xfrm>
          <a:off x="8244360" y="104477760"/>
          <a:ext cx="468720" cy="482760"/>
        </a:xfrm>
        <a:prstGeom prst="rect">
          <a:avLst/>
        </a:prstGeom>
        <a:ln w="0">
          <a:noFill/>
        </a:ln>
      </xdr:spPr>
    </xdr:pic>
    <xdr:clientData/>
  </xdr:twoCellAnchor>
  <xdr:twoCellAnchor editAs="oneCell">
    <xdr:from>
      <xdr:col>10</xdr:col>
      <xdr:colOff>259200</xdr:colOff>
      <xdr:row>535</xdr:row>
      <xdr:rowOff>114480</xdr:rowOff>
    </xdr:from>
    <xdr:to>
      <xdr:col>11</xdr:col>
      <xdr:colOff>345960</xdr:colOff>
      <xdr:row>538</xdr:row>
      <xdr:rowOff>25560</xdr:rowOff>
    </xdr:to>
    <xdr:pic>
      <xdr:nvPicPr>
        <xdr:cNvPr id="57" name="Imagen 107" descr=""/>
        <xdr:cNvPicPr/>
      </xdr:nvPicPr>
      <xdr:blipFill>
        <a:blip r:embed="rId30"/>
        <a:stretch/>
      </xdr:blipFill>
      <xdr:spPr>
        <a:xfrm>
          <a:off x="4730760" y="104508360"/>
          <a:ext cx="469080" cy="482760"/>
        </a:xfrm>
        <a:prstGeom prst="rect">
          <a:avLst/>
        </a:prstGeom>
        <a:ln w="0">
          <a:noFill/>
        </a:ln>
      </xdr:spPr>
    </xdr:pic>
    <xdr:clientData/>
  </xdr:twoCellAnchor>
  <xdr:twoCellAnchor editAs="twoCell">
    <xdr:from>
      <xdr:col>27</xdr:col>
      <xdr:colOff>122040</xdr:colOff>
      <xdr:row>535</xdr:row>
      <xdr:rowOff>152640</xdr:rowOff>
    </xdr:from>
    <xdr:to>
      <xdr:col>29</xdr:col>
      <xdr:colOff>212400</xdr:colOff>
      <xdr:row>538</xdr:row>
      <xdr:rowOff>144000</xdr:rowOff>
    </xdr:to>
    <xdr:sp>
      <xdr:nvSpPr>
        <xdr:cNvPr id="58" name="Es igual a 108"/>
        <xdr:cNvSpPr/>
      </xdr:nvSpPr>
      <xdr:spPr>
        <a:xfrm>
          <a:off x="11240280" y="104546520"/>
          <a:ext cx="906840" cy="563040"/>
        </a:xfrm>
        <a:prstGeom prst="mathEqual">
          <a:avLst>
            <a:gd name="adj1" fmla="val 23520"/>
            <a:gd name="adj2" fmla="val 11760"/>
          </a:avLst>
        </a:prstGeom>
        <a:solidFill>
          <a:srgbClr val="a6a6a6"/>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xdr:col>
      <xdr:colOff>53280</xdr:colOff>
      <xdr:row>553</xdr:row>
      <xdr:rowOff>122040</xdr:rowOff>
    </xdr:from>
    <xdr:to>
      <xdr:col>4</xdr:col>
      <xdr:colOff>82800</xdr:colOff>
      <xdr:row>555</xdr:row>
      <xdr:rowOff>166680</xdr:rowOff>
    </xdr:to>
    <xdr:sp>
      <xdr:nvSpPr>
        <xdr:cNvPr id="59" name="Flecha: a la derecha con bandas 109"/>
        <xdr:cNvSpPr/>
      </xdr:nvSpPr>
      <xdr:spPr>
        <a:xfrm>
          <a:off x="586800" y="108084240"/>
          <a:ext cx="1496160" cy="42552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37</xdr:col>
      <xdr:colOff>276120</xdr:colOff>
      <xdr:row>514</xdr:row>
      <xdr:rowOff>63720</xdr:rowOff>
    </xdr:from>
    <xdr:to>
      <xdr:col>43</xdr:col>
      <xdr:colOff>591120</xdr:colOff>
      <xdr:row>523</xdr:row>
      <xdr:rowOff>57600</xdr:rowOff>
    </xdr:to>
    <xdr:pic>
      <xdr:nvPicPr>
        <xdr:cNvPr id="60" name="Imagen 121" descr=""/>
        <xdr:cNvPicPr/>
      </xdr:nvPicPr>
      <xdr:blipFill>
        <a:blip r:embed="rId31"/>
        <a:stretch/>
      </xdr:blipFill>
      <xdr:spPr>
        <a:xfrm>
          <a:off x="15332040" y="100257120"/>
          <a:ext cx="2730960" cy="1765440"/>
        </a:xfrm>
        <a:prstGeom prst="rect">
          <a:avLst/>
        </a:prstGeom>
        <a:ln w="0">
          <a:noFill/>
        </a:ln>
      </xdr:spPr>
    </xdr:pic>
    <xdr:clientData/>
  </xdr:twoCellAnchor>
  <xdr:twoCellAnchor editAs="oneCell">
    <xdr:from>
      <xdr:col>37</xdr:col>
      <xdr:colOff>165600</xdr:colOff>
      <xdr:row>549</xdr:row>
      <xdr:rowOff>121680</xdr:rowOff>
    </xdr:from>
    <xdr:to>
      <xdr:col>44</xdr:col>
      <xdr:colOff>92160</xdr:colOff>
      <xdr:row>557</xdr:row>
      <xdr:rowOff>78840</xdr:rowOff>
    </xdr:to>
    <xdr:pic>
      <xdr:nvPicPr>
        <xdr:cNvPr id="61" name="Imagen 124" descr=""/>
        <xdr:cNvPicPr/>
      </xdr:nvPicPr>
      <xdr:blipFill>
        <a:blip r:embed="rId32"/>
        <a:stretch/>
      </xdr:blipFill>
      <xdr:spPr>
        <a:xfrm>
          <a:off x="15221520" y="107201880"/>
          <a:ext cx="3222720" cy="1600920"/>
        </a:xfrm>
        <a:prstGeom prst="rect">
          <a:avLst/>
        </a:prstGeom>
        <a:ln w="0">
          <a:noFill/>
        </a:ln>
      </xdr:spPr>
    </xdr:pic>
    <xdr:clientData/>
  </xdr:twoCellAnchor>
  <xdr:twoCellAnchor editAs="twoCell">
    <xdr:from>
      <xdr:col>36</xdr:col>
      <xdr:colOff>0</xdr:colOff>
      <xdr:row>515</xdr:row>
      <xdr:rowOff>159480</xdr:rowOff>
    </xdr:from>
    <xdr:to>
      <xdr:col>36</xdr:col>
      <xdr:colOff>265680</xdr:colOff>
      <xdr:row>517</xdr:row>
      <xdr:rowOff>131760</xdr:rowOff>
    </xdr:to>
    <xdr:sp>
      <xdr:nvSpPr>
        <xdr:cNvPr id="62" name="Flecha: a la derecha 104"/>
        <xdr:cNvSpPr/>
      </xdr:nvSpPr>
      <xdr:spPr>
        <a:xfrm flipV="1">
          <a:off x="14673600" y="100600200"/>
          <a:ext cx="265680" cy="353160"/>
        </a:xfrm>
        <a:prstGeom prst="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34</xdr:col>
      <xdr:colOff>302760</xdr:colOff>
      <xdr:row>552</xdr:row>
      <xdr:rowOff>57240</xdr:rowOff>
    </xdr:from>
    <xdr:to>
      <xdr:col>36</xdr:col>
      <xdr:colOff>147240</xdr:colOff>
      <xdr:row>554</xdr:row>
      <xdr:rowOff>115200</xdr:rowOff>
    </xdr:to>
    <xdr:sp>
      <xdr:nvSpPr>
        <xdr:cNvPr id="63" name="Flecha: a la derecha con bandas 105"/>
        <xdr:cNvSpPr/>
      </xdr:nvSpPr>
      <xdr:spPr>
        <a:xfrm>
          <a:off x="14203080" y="107828640"/>
          <a:ext cx="617760" cy="43920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33</xdr:col>
      <xdr:colOff>24840</xdr:colOff>
      <xdr:row>338</xdr:row>
      <xdr:rowOff>145800</xdr:rowOff>
    </xdr:from>
    <xdr:to>
      <xdr:col>40</xdr:col>
      <xdr:colOff>282960</xdr:colOff>
      <xdr:row>344</xdr:row>
      <xdr:rowOff>129240</xdr:rowOff>
    </xdr:to>
    <xdr:pic>
      <xdr:nvPicPr>
        <xdr:cNvPr id="64" name="Imagen 110" descr=""/>
        <xdr:cNvPicPr/>
      </xdr:nvPicPr>
      <xdr:blipFill>
        <a:blip r:embed="rId33"/>
        <a:stretch/>
      </xdr:blipFill>
      <xdr:spPr>
        <a:xfrm>
          <a:off x="13533840" y="65715120"/>
          <a:ext cx="2977920" cy="1246680"/>
        </a:xfrm>
        <a:prstGeom prst="rect">
          <a:avLst/>
        </a:prstGeom>
        <a:ln w="0">
          <a:noFill/>
        </a:ln>
      </xdr:spPr>
    </xdr:pic>
    <xdr:clientData/>
  </xdr:twoCellAnchor>
  <xdr:twoCellAnchor editAs="oneCell">
    <xdr:from>
      <xdr:col>0</xdr:col>
      <xdr:colOff>438120</xdr:colOff>
      <xdr:row>560</xdr:row>
      <xdr:rowOff>66600</xdr:rowOff>
    </xdr:from>
    <xdr:to>
      <xdr:col>11</xdr:col>
      <xdr:colOff>362880</xdr:colOff>
      <xdr:row>575</xdr:row>
      <xdr:rowOff>2160</xdr:rowOff>
    </xdr:to>
    <xdr:pic>
      <xdr:nvPicPr>
        <xdr:cNvPr id="65" name="Imagen 111" descr=""/>
        <xdr:cNvPicPr/>
      </xdr:nvPicPr>
      <xdr:blipFill>
        <a:blip r:embed="rId34"/>
        <a:stretch/>
      </xdr:blipFill>
      <xdr:spPr>
        <a:xfrm>
          <a:off x="438120" y="109362240"/>
          <a:ext cx="4778640" cy="2792880"/>
        </a:xfrm>
        <a:prstGeom prst="rect">
          <a:avLst/>
        </a:prstGeom>
        <a:ln w="0">
          <a:noFill/>
        </a:ln>
      </xdr:spPr>
    </xdr:pic>
    <xdr:clientData/>
  </xdr:twoCellAnchor>
  <xdr:twoCellAnchor editAs="twoCell">
    <xdr:from>
      <xdr:col>1</xdr:col>
      <xdr:colOff>487800</xdr:colOff>
      <xdr:row>576</xdr:row>
      <xdr:rowOff>13320</xdr:rowOff>
    </xdr:from>
    <xdr:to>
      <xdr:col>5</xdr:col>
      <xdr:colOff>115200</xdr:colOff>
      <xdr:row>581</xdr:row>
      <xdr:rowOff>82080</xdr:rowOff>
    </xdr:to>
    <xdr:sp>
      <xdr:nvSpPr>
        <xdr:cNvPr id="66" name="Flecha: hacia abajo 15"/>
        <xdr:cNvSpPr/>
      </xdr:nvSpPr>
      <xdr:spPr>
        <a:xfrm>
          <a:off x="1021320" y="112356720"/>
          <a:ext cx="1521000" cy="1021320"/>
        </a:xfrm>
        <a:prstGeom prst="down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0</xdr:col>
      <xdr:colOff>272520</xdr:colOff>
      <xdr:row>591</xdr:row>
      <xdr:rowOff>133920</xdr:rowOff>
    </xdr:from>
    <xdr:to>
      <xdr:col>3</xdr:col>
      <xdr:colOff>340200</xdr:colOff>
      <xdr:row>600</xdr:row>
      <xdr:rowOff>133200</xdr:rowOff>
    </xdr:to>
    <xdr:pic>
      <xdr:nvPicPr>
        <xdr:cNvPr id="67" name="Imagen 113" descr=""/>
        <xdr:cNvPicPr/>
      </xdr:nvPicPr>
      <xdr:blipFill>
        <a:blip r:embed="rId35"/>
        <a:stretch/>
      </xdr:blipFill>
      <xdr:spPr>
        <a:xfrm>
          <a:off x="272520" y="115364880"/>
          <a:ext cx="1641240" cy="1713600"/>
        </a:xfrm>
        <a:prstGeom prst="rect">
          <a:avLst/>
        </a:prstGeom>
        <a:ln w="0">
          <a:noFill/>
        </a:ln>
      </xdr:spPr>
    </xdr:pic>
    <xdr:clientData/>
  </xdr:twoCellAnchor>
  <xdr:twoCellAnchor editAs="oneCell">
    <xdr:from>
      <xdr:col>28</xdr:col>
      <xdr:colOff>106560</xdr:colOff>
      <xdr:row>592</xdr:row>
      <xdr:rowOff>117000</xdr:rowOff>
    </xdr:from>
    <xdr:to>
      <xdr:col>35</xdr:col>
      <xdr:colOff>172080</xdr:colOff>
      <xdr:row>599</xdr:row>
      <xdr:rowOff>93240</xdr:rowOff>
    </xdr:to>
    <xdr:pic>
      <xdr:nvPicPr>
        <xdr:cNvPr id="68" name="Imagen 115" descr=""/>
        <xdr:cNvPicPr/>
      </xdr:nvPicPr>
      <xdr:blipFill>
        <a:blip r:embed="rId36"/>
        <a:stretch/>
      </xdr:blipFill>
      <xdr:spPr>
        <a:xfrm>
          <a:off x="11633040" y="115538400"/>
          <a:ext cx="2821320" cy="1309680"/>
        </a:xfrm>
        <a:prstGeom prst="rect">
          <a:avLst/>
        </a:prstGeom>
        <a:ln w="0">
          <a:noFill/>
        </a:ln>
      </xdr:spPr>
    </xdr:pic>
    <xdr:clientData/>
  </xdr:twoCellAnchor>
  <xdr:twoCellAnchor editAs="oneCell">
    <xdr:from>
      <xdr:col>5</xdr:col>
      <xdr:colOff>0</xdr:colOff>
      <xdr:row>597</xdr:row>
      <xdr:rowOff>116640</xdr:rowOff>
    </xdr:from>
    <xdr:to>
      <xdr:col>22</xdr:col>
      <xdr:colOff>134280</xdr:colOff>
      <xdr:row>600</xdr:row>
      <xdr:rowOff>41400</xdr:rowOff>
    </xdr:to>
    <xdr:pic>
      <xdr:nvPicPr>
        <xdr:cNvPr id="69" name="Imagen 116" descr=""/>
        <xdr:cNvPicPr/>
      </xdr:nvPicPr>
      <xdr:blipFill>
        <a:blip r:embed="rId37"/>
        <a:stretch/>
      </xdr:blipFill>
      <xdr:spPr>
        <a:xfrm>
          <a:off x="2427120" y="116490600"/>
          <a:ext cx="7021800" cy="496080"/>
        </a:xfrm>
        <a:prstGeom prst="rect">
          <a:avLst/>
        </a:prstGeom>
        <a:ln w="0">
          <a:noFill/>
        </a:ln>
      </xdr:spPr>
    </xdr:pic>
    <xdr:clientData/>
  </xdr:twoCellAnchor>
  <xdr:twoCellAnchor editAs="twoCell">
    <xdr:from>
      <xdr:col>6</xdr:col>
      <xdr:colOff>114480</xdr:colOff>
      <xdr:row>618</xdr:row>
      <xdr:rowOff>48600</xdr:rowOff>
    </xdr:from>
    <xdr:to>
      <xdr:col>7</xdr:col>
      <xdr:colOff>212400</xdr:colOff>
      <xdr:row>620</xdr:row>
      <xdr:rowOff>100440</xdr:rowOff>
    </xdr:to>
    <xdr:sp>
      <xdr:nvSpPr>
        <xdr:cNvPr id="70" name="Flecha: a la derecha con bandas 117"/>
        <xdr:cNvSpPr/>
      </xdr:nvSpPr>
      <xdr:spPr>
        <a:xfrm>
          <a:off x="2949840" y="120461040"/>
          <a:ext cx="480240" cy="43308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13</xdr:col>
      <xdr:colOff>0</xdr:colOff>
      <xdr:row>618</xdr:row>
      <xdr:rowOff>117000</xdr:rowOff>
    </xdr:from>
    <xdr:to>
      <xdr:col>14</xdr:col>
      <xdr:colOff>97920</xdr:colOff>
      <xdr:row>620</xdr:row>
      <xdr:rowOff>168840</xdr:rowOff>
    </xdr:to>
    <xdr:sp>
      <xdr:nvSpPr>
        <xdr:cNvPr id="71" name="Flecha: a la derecha con bandas 118"/>
        <xdr:cNvSpPr/>
      </xdr:nvSpPr>
      <xdr:spPr>
        <a:xfrm>
          <a:off x="5806440" y="120529440"/>
          <a:ext cx="550800" cy="43308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xdr:col>
      <xdr:colOff>320040</xdr:colOff>
      <xdr:row>604</xdr:row>
      <xdr:rowOff>174240</xdr:rowOff>
    </xdr:from>
    <xdr:to>
      <xdr:col>3</xdr:col>
      <xdr:colOff>425520</xdr:colOff>
      <xdr:row>607</xdr:row>
      <xdr:rowOff>93240</xdr:rowOff>
    </xdr:to>
    <xdr:sp>
      <xdr:nvSpPr>
        <xdr:cNvPr id="72" name="Flecha: a la derecha con bandas 119"/>
        <xdr:cNvSpPr/>
      </xdr:nvSpPr>
      <xdr:spPr>
        <a:xfrm>
          <a:off x="1448280" y="117938880"/>
          <a:ext cx="550800" cy="49032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14</xdr:col>
      <xdr:colOff>152280</xdr:colOff>
      <xdr:row>632</xdr:row>
      <xdr:rowOff>124200</xdr:rowOff>
    </xdr:from>
    <xdr:to>
      <xdr:col>15</xdr:col>
      <xdr:colOff>256680</xdr:colOff>
      <xdr:row>635</xdr:row>
      <xdr:rowOff>35640</xdr:rowOff>
    </xdr:to>
    <xdr:pic>
      <xdr:nvPicPr>
        <xdr:cNvPr id="73" name="Imagen 120" descr=""/>
        <xdr:cNvPicPr/>
      </xdr:nvPicPr>
      <xdr:blipFill>
        <a:blip r:embed="rId38"/>
        <a:stretch/>
      </xdr:blipFill>
      <xdr:spPr>
        <a:xfrm>
          <a:off x="6411600" y="123356160"/>
          <a:ext cx="468000" cy="482760"/>
        </a:xfrm>
        <a:prstGeom prst="rect">
          <a:avLst/>
        </a:prstGeom>
        <a:ln w="0">
          <a:noFill/>
        </a:ln>
      </xdr:spPr>
    </xdr:pic>
    <xdr:clientData/>
  </xdr:twoCellAnchor>
  <xdr:twoCellAnchor editAs="oneCell">
    <xdr:from>
      <xdr:col>6</xdr:col>
      <xdr:colOff>76320</xdr:colOff>
      <xdr:row>632</xdr:row>
      <xdr:rowOff>154800</xdr:rowOff>
    </xdr:from>
    <xdr:to>
      <xdr:col>7</xdr:col>
      <xdr:colOff>163080</xdr:colOff>
      <xdr:row>635</xdr:row>
      <xdr:rowOff>66240</xdr:rowOff>
    </xdr:to>
    <xdr:pic>
      <xdr:nvPicPr>
        <xdr:cNvPr id="74" name="Imagen 122" descr=""/>
        <xdr:cNvPicPr/>
      </xdr:nvPicPr>
      <xdr:blipFill>
        <a:blip r:embed="rId39"/>
        <a:stretch/>
      </xdr:blipFill>
      <xdr:spPr>
        <a:xfrm>
          <a:off x="2911680" y="123386760"/>
          <a:ext cx="469080" cy="482760"/>
        </a:xfrm>
        <a:prstGeom prst="rect">
          <a:avLst/>
        </a:prstGeom>
        <a:ln w="0">
          <a:noFill/>
        </a:ln>
      </xdr:spPr>
    </xdr:pic>
    <xdr:clientData/>
  </xdr:twoCellAnchor>
  <xdr:twoCellAnchor editAs="twoCell">
    <xdr:from>
      <xdr:col>22</xdr:col>
      <xdr:colOff>274320</xdr:colOff>
      <xdr:row>632</xdr:row>
      <xdr:rowOff>139680</xdr:rowOff>
    </xdr:from>
    <xdr:to>
      <xdr:col>24</xdr:col>
      <xdr:colOff>242640</xdr:colOff>
      <xdr:row>635</xdr:row>
      <xdr:rowOff>55080</xdr:rowOff>
    </xdr:to>
    <xdr:sp>
      <xdr:nvSpPr>
        <xdr:cNvPr id="75" name="Es igual a 123"/>
        <xdr:cNvSpPr/>
      </xdr:nvSpPr>
      <xdr:spPr>
        <a:xfrm>
          <a:off x="9588960" y="123371640"/>
          <a:ext cx="759240" cy="486720"/>
        </a:xfrm>
        <a:prstGeom prst="mathEqual">
          <a:avLst>
            <a:gd name="adj1" fmla="val 23520"/>
            <a:gd name="adj2" fmla="val 11760"/>
          </a:avLst>
        </a:prstGeom>
        <a:solidFill>
          <a:srgbClr val="a6a6a6"/>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xdr:col>
      <xdr:colOff>53280</xdr:colOff>
      <xdr:row>649</xdr:row>
      <xdr:rowOff>162720</xdr:rowOff>
    </xdr:from>
    <xdr:to>
      <xdr:col>4</xdr:col>
      <xdr:colOff>82800</xdr:colOff>
      <xdr:row>651</xdr:row>
      <xdr:rowOff>207360</xdr:rowOff>
    </xdr:to>
    <xdr:sp>
      <xdr:nvSpPr>
        <xdr:cNvPr id="76" name="Flecha: a la derecha con bandas 125"/>
        <xdr:cNvSpPr/>
      </xdr:nvSpPr>
      <xdr:spPr>
        <a:xfrm>
          <a:off x="586800" y="126838800"/>
          <a:ext cx="1496160" cy="42588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0</xdr:col>
      <xdr:colOff>0</xdr:colOff>
      <xdr:row>654</xdr:row>
      <xdr:rowOff>65880</xdr:rowOff>
    </xdr:from>
    <xdr:to>
      <xdr:col>3</xdr:col>
      <xdr:colOff>132120</xdr:colOff>
      <xdr:row>663</xdr:row>
      <xdr:rowOff>80280</xdr:rowOff>
    </xdr:to>
    <xdr:pic>
      <xdr:nvPicPr>
        <xdr:cNvPr id="77" name="Imagen 126" descr=""/>
        <xdr:cNvPicPr/>
      </xdr:nvPicPr>
      <xdr:blipFill>
        <a:blip r:embed="rId40"/>
        <a:stretch/>
      </xdr:blipFill>
      <xdr:spPr>
        <a:xfrm>
          <a:off x="0" y="127724400"/>
          <a:ext cx="1705680" cy="1728720"/>
        </a:xfrm>
        <a:prstGeom prst="rect">
          <a:avLst/>
        </a:prstGeom>
        <a:ln w="0">
          <a:noFill/>
        </a:ln>
      </xdr:spPr>
    </xdr:pic>
    <xdr:clientData/>
  </xdr:twoCellAnchor>
  <xdr:twoCellAnchor editAs="oneCell">
    <xdr:from>
      <xdr:col>26</xdr:col>
      <xdr:colOff>106560</xdr:colOff>
      <xdr:row>654</xdr:row>
      <xdr:rowOff>65880</xdr:rowOff>
    </xdr:from>
    <xdr:to>
      <xdr:col>33</xdr:col>
      <xdr:colOff>90360</xdr:colOff>
      <xdr:row>661</xdr:row>
      <xdr:rowOff>63000</xdr:rowOff>
    </xdr:to>
    <xdr:pic>
      <xdr:nvPicPr>
        <xdr:cNvPr id="78" name="Imagen 127" descr=""/>
        <xdr:cNvPicPr/>
      </xdr:nvPicPr>
      <xdr:blipFill>
        <a:blip r:embed="rId41"/>
        <a:stretch/>
      </xdr:blipFill>
      <xdr:spPr>
        <a:xfrm>
          <a:off x="10904760" y="127724400"/>
          <a:ext cx="2694600" cy="1330560"/>
        </a:xfrm>
        <a:prstGeom prst="rect">
          <a:avLst/>
        </a:prstGeom>
        <a:ln w="0">
          <a:noFill/>
        </a:ln>
      </xdr:spPr>
    </xdr:pic>
    <xdr:clientData/>
  </xdr:twoCellAnchor>
  <xdr:twoCellAnchor editAs="twoCell">
    <xdr:from>
      <xdr:col>6</xdr:col>
      <xdr:colOff>114480</xdr:colOff>
      <xdr:row>670</xdr:row>
      <xdr:rowOff>88920</xdr:rowOff>
    </xdr:from>
    <xdr:to>
      <xdr:col>7</xdr:col>
      <xdr:colOff>212400</xdr:colOff>
      <xdr:row>672</xdr:row>
      <xdr:rowOff>141120</xdr:rowOff>
    </xdr:to>
    <xdr:sp>
      <xdr:nvSpPr>
        <xdr:cNvPr id="79" name="Flecha: a la derecha con bandas 128"/>
        <xdr:cNvSpPr/>
      </xdr:nvSpPr>
      <xdr:spPr>
        <a:xfrm>
          <a:off x="2949840" y="130795560"/>
          <a:ext cx="480240" cy="43308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13</xdr:col>
      <xdr:colOff>99000</xdr:colOff>
      <xdr:row>670</xdr:row>
      <xdr:rowOff>142200</xdr:rowOff>
    </xdr:from>
    <xdr:to>
      <xdr:col>14</xdr:col>
      <xdr:colOff>196920</xdr:colOff>
      <xdr:row>673</xdr:row>
      <xdr:rowOff>11520</xdr:rowOff>
    </xdr:to>
    <xdr:sp>
      <xdr:nvSpPr>
        <xdr:cNvPr id="80" name="Flecha: a la derecha con bandas 129"/>
        <xdr:cNvSpPr/>
      </xdr:nvSpPr>
      <xdr:spPr>
        <a:xfrm>
          <a:off x="5905440" y="130848840"/>
          <a:ext cx="550800" cy="44064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13</xdr:col>
      <xdr:colOff>160200</xdr:colOff>
      <xdr:row>697</xdr:row>
      <xdr:rowOff>180720</xdr:rowOff>
    </xdr:from>
    <xdr:to>
      <xdr:col>14</xdr:col>
      <xdr:colOff>64080</xdr:colOff>
      <xdr:row>699</xdr:row>
      <xdr:rowOff>170640</xdr:rowOff>
    </xdr:to>
    <xdr:pic>
      <xdr:nvPicPr>
        <xdr:cNvPr id="81" name="Imagen 130" descr=""/>
        <xdr:cNvPicPr/>
      </xdr:nvPicPr>
      <xdr:blipFill>
        <a:blip r:embed="rId42"/>
        <a:stretch/>
      </xdr:blipFill>
      <xdr:spPr>
        <a:xfrm>
          <a:off x="5966640" y="136011600"/>
          <a:ext cx="356760" cy="371160"/>
        </a:xfrm>
        <a:prstGeom prst="rect">
          <a:avLst/>
        </a:prstGeom>
        <a:ln w="0">
          <a:noFill/>
        </a:ln>
      </xdr:spPr>
    </xdr:pic>
    <xdr:clientData/>
  </xdr:twoCellAnchor>
  <xdr:twoCellAnchor editAs="oneCell">
    <xdr:from>
      <xdr:col>5</xdr:col>
      <xdr:colOff>335160</xdr:colOff>
      <xdr:row>698</xdr:row>
      <xdr:rowOff>5400</xdr:rowOff>
    </xdr:from>
    <xdr:to>
      <xdr:col>6</xdr:col>
      <xdr:colOff>276480</xdr:colOff>
      <xdr:row>699</xdr:row>
      <xdr:rowOff>178200</xdr:rowOff>
    </xdr:to>
    <xdr:pic>
      <xdr:nvPicPr>
        <xdr:cNvPr id="82" name="Imagen 131" descr=""/>
        <xdr:cNvPicPr/>
      </xdr:nvPicPr>
      <xdr:blipFill>
        <a:blip r:embed="rId43"/>
        <a:stretch/>
      </xdr:blipFill>
      <xdr:spPr>
        <a:xfrm>
          <a:off x="2762280" y="136026720"/>
          <a:ext cx="349560" cy="363600"/>
        </a:xfrm>
        <a:prstGeom prst="rect">
          <a:avLst/>
        </a:prstGeom>
        <a:ln w="0">
          <a:noFill/>
        </a:ln>
      </xdr:spPr>
    </xdr:pic>
    <xdr:clientData/>
  </xdr:twoCellAnchor>
  <xdr:twoCellAnchor editAs="twoCell">
    <xdr:from>
      <xdr:col>21</xdr:col>
      <xdr:colOff>167760</xdr:colOff>
      <xdr:row>697</xdr:row>
      <xdr:rowOff>88920</xdr:rowOff>
    </xdr:from>
    <xdr:to>
      <xdr:col>23</xdr:col>
      <xdr:colOff>44640</xdr:colOff>
      <xdr:row>699</xdr:row>
      <xdr:rowOff>110880</xdr:rowOff>
    </xdr:to>
    <xdr:sp>
      <xdr:nvSpPr>
        <xdr:cNvPr id="83" name="Es igual a 132"/>
        <xdr:cNvSpPr/>
      </xdr:nvSpPr>
      <xdr:spPr>
        <a:xfrm>
          <a:off x="9082440" y="135919800"/>
          <a:ext cx="659160" cy="403200"/>
        </a:xfrm>
        <a:prstGeom prst="mathEqual">
          <a:avLst>
            <a:gd name="adj1" fmla="val 23520"/>
            <a:gd name="adj2" fmla="val 11760"/>
          </a:avLst>
        </a:prstGeom>
        <a:solidFill>
          <a:srgbClr val="a6a6a6"/>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xdr:col>
      <xdr:colOff>53280</xdr:colOff>
      <xdr:row>715</xdr:row>
      <xdr:rowOff>12600</xdr:rowOff>
    </xdr:from>
    <xdr:to>
      <xdr:col>4</xdr:col>
      <xdr:colOff>82800</xdr:colOff>
      <xdr:row>717</xdr:row>
      <xdr:rowOff>57600</xdr:rowOff>
    </xdr:to>
    <xdr:sp>
      <xdr:nvSpPr>
        <xdr:cNvPr id="84" name="Flecha: a la derecha con bandas 133"/>
        <xdr:cNvSpPr/>
      </xdr:nvSpPr>
      <xdr:spPr>
        <a:xfrm>
          <a:off x="586800" y="139497480"/>
          <a:ext cx="1496160" cy="425880"/>
        </a:xfrm>
        <a:prstGeom prst="striped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28</xdr:col>
      <xdr:colOff>267840</xdr:colOff>
      <xdr:row>16</xdr:row>
      <xdr:rowOff>111960</xdr:rowOff>
    </xdr:from>
    <xdr:to>
      <xdr:col>29</xdr:col>
      <xdr:colOff>208440</xdr:colOff>
      <xdr:row>18</xdr:row>
      <xdr:rowOff>1440</xdr:rowOff>
    </xdr:to>
    <xdr:pic>
      <xdr:nvPicPr>
        <xdr:cNvPr id="85" name="Imagen 56" descr=""/>
        <xdr:cNvPicPr/>
      </xdr:nvPicPr>
      <xdr:blipFill>
        <a:blip r:embed="rId1"/>
        <a:stretch/>
      </xdr:blipFill>
      <xdr:spPr>
        <a:xfrm>
          <a:off x="16986600" y="3225240"/>
          <a:ext cx="295560" cy="270720"/>
        </a:xfrm>
        <a:prstGeom prst="rect">
          <a:avLst/>
        </a:prstGeom>
        <a:ln w="0">
          <a:noFill/>
        </a:ln>
      </xdr:spPr>
    </xdr:pic>
    <xdr:clientData/>
  </xdr:twoCellAnchor>
  <xdr:twoCellAnchor editAs="oneCell">
    <xdr:from>
      <xdr:col>44</xdr:col>
      <xdr:colOff>109800</xdr:colOff>
      <xdr:row>16</xdr:row>
      <xdr:rowOff>172800</xdr:rowOff>
    </xdr:from>
    <xdr:to>
      <xdr:col>44</xdr:col>
      <xdr:colOff>380160</xdr:colOff>
      <xdr:row>18</xdr:row>
      <xdr:rowOff>37800</xdr:rowOff>
    </xdr:to>
    <xdr:pic>
      <xdr:nvPicPr>
        <xdr:cNvPr id="86" name="Imagen 57" descr=""/>
        <xdr:cNvPicPr/>
      </xdr:nvPicPr>
      <xdr:blipFill>
        <a:blip r:embed="rId2"/>
        <a:stretch/>
      </xdr:blipFill>
      <xdr:spPr>
        <a:xfrm>
          <a:off x="22835880" y="3286080"/>
          <a:ext cx="270360" cy="246240"/>
        </a:xfrm>
        <a:prstGeom prst="rect">
          <a:avLst/>
        </a:prstGeom>
        <a:ln w="0">
          <a:noFill/>
        </a:ln>
      </xdr:spPr>
    </xdr:pic>
    <xdr:clientData/>
  </xdr:twoCellAnchor>
  <xdr:twoCellAnchor editAs="oneCell">
    <xdr:from>
      <xdr:col>44</xdr:col>
      <xdr:colOff>104040</xdr:colOff>
      <xdr:row>28</xdr:row>
      <xdr:rowOff>19080</xdr:rowOff>
    </xdr:from>
    <xdr:to>
      <xdr:col>44</xdr:col>
      <xdr:colOff>376200</xdr:colOff>
      <xdr:row>29</xdr:row>
      <xdr:rowOff>74880</xdr:rowOff>
    </xdr:to>
    <xdr:pic>
      <xdr:nvPicPr>
        <xdr:cNvPr id="87" name="Imagen 58" descr=""/>
        <xdr:cNvPicPr/>
      </xdr:nvPicPr>
      <xdr:blipFill>
        <a:blip r:embed="rId3"/>
        <a:stretch/>
      </xdr:blipFill>
      <xdr:spPr>
        <a:xfrm>
          <a:off x="22830120" y="5418360"/>
          <a:ext cx="272160" cy="246600"/>
        </a:xfrm>
        <a:prstGeom prst="rect">
          <a:avLst/>
        </a:prstGeom>
        <a:ln w="0">
          <a:noFill/>
        </a:ln>
      </xdr:spPr>
    </xdr:pic>
    <xdr:clientData/>
  </xdr:twoCellAnchor>
  <xdr:twoCellAnchor editAs="oneCell">
    <xdr:from>
      <xdr:col>28</xdr:col>
      <xdr:colOff>279360</xdr:colOff>
      <xdr:row>27</xdr:row>
      <xdr:rowOff>71280</xdr:rowOff>
    </xdr:from>
    <xdr:to>
      <xdr:col>29</xdr:col>
      <xdr:colOff>225720</xdr:colOff>
      <xdr:row>28</xdr:row>
      <xdr:rowOff>153720</xdr:rowOff>
    </xdr:to>
    <xdr:pic>
      <xdr:nvPicPr>
        <xdr:cNvPr id="88" name="Imagen 59" descr=""/>
        <xdr:cNvPicPr/>
      </xdr:nvPicPr>
      <xdr:blipFill>
        <a:blip r:embed="rId4"/>
        <a:stretch/>
      </xdr:blipFill>
      <xdr:spPr>
        <a:xfrm>
          <a:off x="16998120" y="5280120"/>
          <a:ext cx="301320" cy="272880"/>
        </a:xfrm>
        <a:prstGeom prst="rect">
          <a:avLst/>
        </a:prstGeom>
        <a:ln w="0">
          <a:noFill/>
        </a:ln>
      </xdr:spPr>
    </xdr:pic>
    <xdr:clientData/>
  </xdr:twoCellAnchor>
  <xdr:twoCellAnchor editAs="oneCell">
    <xdr:from>
      <xdr:col>29</xdr:col>
      <xdr:colOff>55800</xdr:colOff>
      <xdr:row>34</xdr:row>
      <xdr:rowOff>99720</xdr:rowOff>
    </xdr:from>
    <xdr:to>
      <xdr:col>30</xdr:col>
      <xdr:colOff>15120</xdr:colOff>
      <xdr:row>36</xdr:row>
      <xdr:rowOff>2520</xdr:rowOff>
    </xdr:to>
    <xdr:pic>
      <xdr:nvPicPr>
        <xdr:cNvPr id="89" name="Imagen 61" descr=""/>
        <xdr:cNvPicPr/>
      </xdr:nvPicPr>
      <xdr:blipFill>
        <a:blip r:embed="rId5"/>
        <a:stretch/>
      </xdr:blipFill>
      <xdr:spPr>
        <a:xfrm>
          <a:off x="17129520" y="6642000"/>
          <a:ext cx="333000" cy="284040"/>
        </a:xfrm>
        <a:prstGeom prst="rect">
          <a:avLst/>
        </a:prstGeom>
        <a:ln w="0">
          <a:noFill/>
        </a:ln>
      </xdr:spPr>
    </xdr:pic>
    <xdr:clientData/>
  </xdr:twoCellAnchor>
  <xdr:twoCellAnchor editAs="oneCell">
    <xdr:from>
      <xdr:col>45</xdr:col>
      <xdr:colOff>213120</xdr:colOff>
      <xdr:row>34</xdr:row>
      <xdr:rowOff>128160</xdr:rowOff>
    </xdr:from>
    <xdr:to>
      <xdr:col>45</xdr:col>
      <xdr:colOff>485280</xdr:colOff>
      <xdr:row>36</xdr:row>
      <xdr:rowOff>1080</xdr:rowOff>
    </xdr:to>
    <xdr:pic>
      <xdr:nvPicPr>
        <xdr:cNvPr id="90" name="Imagen 62" descr=""/>
        <xdr:cNvPicPr/>
      </xdr:nvPicPr>
      <xdr:blipFill>
        <a:blip r:embed="rId6"/>
        <a:stretch/>
      </xdr:blipFill>
      <xdr:spPr>
        <a:xfrm>
          <a:off x="23401440" y="6670440"/>
          <a:ext cx="272160" cy="254160"/>
        </a:xfrm>
        <a:prstGeom prst="rect">
          <a:avLst/>
        </a:prstGeom>
        <a:ln w="0">
          <a:noFill/>
        </a:ln>
      </xdr:spPr>
    </xdr:pic>
    <xdr:clientData/>
  </xdr:twoCellAnchor>
  <xdr:twoCellAnchor editAs="oneCell">
    <xdr:from>
      <xdr:col>45</xdr:col>
      <xdr:colOff>267120</xdr:colOff>
      <xdr:row>29</xdr:row>
      <xdr:rowOff>180720</xdr:rowOff>
    </xdr:from>
    <xdr:to>
      <xdr:col>45</xdr:col>
      <xdr:colOff>321840</xdr:colOff>
      <xdr:row>31</xdr:row>
      <xdr:rowOff>136080</xdr:rowOff>
    </xdr:to>
    <xdr:pic>
      <xdr:nvPicPr>
        <xdr:cNvPr id="91" name="Imagen 63" descr=""/>
        <xdr:cNvPicPr/>
      </xdr:nvPicPr>
      <xdr:blipFill>
        <a:blip r:embed="rId7"/>
        <a:stretch/>
      </xdr:blipFill>
      <xdr:spPr>
        <a:xfrm>
          <a:off x="23455440" y="5770800"/>
          <a:ext cx="54720" cy="336240"/>
        </a:xfrm>
        <a:prstGeom prst="rect">
          <a:avLst/>
        </a:prstGeom>
        <a:ln w="0">
          <a:noFill/>
        </a:ln>
      </xdr:spPr>
    </xdr:pic>
    <xdr:clientData/>
  </xdr:twoCellAnchor>
  <xdr:twoCellAnchor editAs="oneCell">
    <xdr:from>
      <xdr:col>29</xdr:col>
      <xdr:colOff>70560</xdr:colOff>
      <xdr:row>45</xdr:row>
      <xdr:rowOff>103680</xdr:rowOff>
    </xdr:from>
    <xdr:to>
      <xdr:col>29</xdr:col>
      <xdr:colOff>339120</xdr:colOff>
      <xdr:row>46</xdr:row>
      <xdr:rowOff>205560</xdr:rowOff>
    </xdr:to>
    <xdr:pic>
      <xdr:nvPicPr>
        <xdr:cNvPr id="92" name="Imagen 1" descr=""/>
        <xdr:cNvPicPr/>
      </xdr:nvPicPr>
      <xdr:blipFill>
        <a:blip r:embed="rId8"/>
        <a:stretch/>
      </xdr:blipFill>
      <xdr:spPr>
        <a:xfrm>
          <a:off x="17144280" y="8759520"/>
          <a:ext cx="268560" cy="292320"/>
        </a:xfrm>
        <a:prstGeom prst="rect">
          <a:avLst/>
        </a:prstGeom>
        <a:ln w="0">
          <a:noFill/>
        </a:ln>
      </xdr:spPr>
    </xdr:pic>
    <xdr:clientData/>
  </xdr:twoCellAnchor>
  <xdr:twoCellAnchor editAs="oneCell">
    <xdr:from>
      <xdr:col>45</xdr:col>
      <xdr:colOff>184680</xdr:colOff>
      <xdr:row>45</xdr:row>
      <xdr:rowOff>119160</xdr:rowOff>
    </xdr:from>
    <xdr:to>
      <xdr:col>45</xdr:col>
      <xdr:colOff>456840</xdr:colOff>
      <xdr:row>46</xdr:row>
      <xdr:rowOff>182880</xdr:rowOff>
    </xdr:to>
    <xdr:pic>
      <xdr:nvPicPr>
        <xdr:cNvPr id="93" name="Imagen 2" descr=""/>
        <xdr:cNvPicPr/>
      </xdr:nvPicPr>
      <xdr:blipFill>
        <a:blip r:embed="rId9"/>
        <a:stretch/>
      </xdr:blipFill>
      <xdr:spPr>
        <a:xfrm>
          <a:off x="23373000" y="8775000"/>
          <a:ext cx="272160" cy="254160"/>
        </a:xfrm>
        <a:prstGeom prst="rect">
          <a:avLst/>
        </a:prstGeom>
        <a:ln w="0">
          <a:noFill/>
        </a:ln>
      </xdr:spPr>
    </xdr:pic>
    <xdr:clientData/>
  </xdr:twoCellAnchor>
  <xdr:twoCellAnchor editAs="oneCell">
    <xdr:from>
      <xdr:col>29</xdr:col>
      <xdr:colOff>117360</xdr:colOff>
      <xdr:row>57</xdr:row>
      <xdr:rowOff>11880</xdr:rowOff>
    </xdr:from>
    <xdr:to>
      <xdr:col>30</xdr:col>
      <xdr:colOff>12600</xdr:colOff>
      <xdr:row>58</xdr:row>
      <xdr:rowOff>105840</xdr:rowOff>
    </xdr:to>
    <xdr:pic>
      <xdr:nvPicPr>
        <xdr:cNvPr id="94" name="Imagen 3" descr=""/>
        <xdr:cNvPicPr/>
      </xdr:nvPicPr>
      <xdr:blipFill>
        <a:blip r:embed="rId10"/>
        <a:stretch/>
      </xdr:blipFill>
      <xdr:spPr>
        <a:xfrm>
          <a:off x="17191080" y="10989000"/>
          <a:ext cx="268920" cy="284760"/>
        </a:xfrm>
        <a:prstGeom prst="rect">
          <a:avLst/>
        </a:prstGeom>
        <a:ln w="0">
          <a:noFill/>
        </a:ln>
      </xdr:spPr>
    </xdr:pic>
    <xdr:clientData/>
  </xdr:twoCellAnchor>
  <xdr:twoCellAnchor editAs="oneCell">
    <xdr:from>
      <xdr:col>45</xdr:col>
      <xdr:colOff>219240</xdr:colOff>
      <xdr:row>58</xdr:row>
      <xdr:rowOff>31320</xdr:rowOff>
    </xdr:from>
    <xdr:to>
      <xdr:col>45</xdr:col>
      <xdr:colOff>491400</xdr:colOff>
      <xdr:row>59</xdr:row>
      <xdr:rowOff>87480</xdr:rowOff>
    </xdr:to>
    <xdr:pic>
      <xdr:nvPicPr>
        <xdr:cNvPr id="95" name="Imagen 4" descr=""/>
        <xdr:cNvPicPr/>
      </xdr:nvPicPr>
      <xdr:blipFill>
        <a:blip r:embed="rId11"/>
        <a:stretch/>
      </xdr:blipFill>
      <xdr:spPr>
        <a:xfrm>
          <a:off x="23407560" y="11199240"/>
          <a:ext cx="272160" cy="246600"/>
        </a:xfrm>
        <a:prstGeom prst="rect">
          <a:avLst/>
        </a:prstGeom>
        <a:ln w="0">
          <a:noFill/>
        </a:ln>
      </xdr:spPr>
    </xdr:pic>
    <xdr:clientData/>
  </xdr:twoCellAnchor>
  <xdr:twoCellAnchor editAs="oneCell">
    <xdr:from>
      <xdr:col>29</xdr:col>
      <xdr:colOff>217080</xdr:colOff>
      <xdr:row>69</xdr:row>
      <xdr:rowOff>161640</xdr:rowOff>
    </xdr:from>
    <xdr:to>
      <xdr:col>30</xdr:col>
      <xdr:colOff>112320</xdr:colOff>
      <xdr:row>71</xdr:row>
      <xdr:rowOff>47520</xdr:rowOff>
    </xdr:to>
    <xdr:pic>
      <xdr:nvPicPr>
        <xdr:cNvPr id="96" name="Imagen 5" descr=""/>
        <xdr:cNvPicPr/>
      </xdr:nvPicPr>
      <xdr:blipFill>
        <a:blip r:embed="rId12"/>
        <a:stretch/>
      </xdr:blipFill>
      <xdr:spPr>
        <a:xfrm>
          <a:off x="17290800" y="13404600"/>
          <a:ext cx="268920" cy="284760"/>
        </a:xfrm>
        <a:prstGeom prst="rect">
          <a:avLst/>
        </a:prstGeom>
        <a:ln w="0">
          <a:noFill/>
        </a:ln>
      </xdr:spPr>
    </xdr:pic>
    <xdr:clientData/>
  </xdr:twoCellAnchor>
  <xdr:twoCellAnchor editAs="oneCell">
    <xdr:from>
      <xdr:col>44</xdr:col>
      <xdr:colOff>45000</xdr:colOff>
      <xdr:row>20</xdr:row>
      <xdr:rowOff>40680</xdr:rowOff>
    </xdr:from>
    <xdr:to>
      <xdr:col>44</xdr:col>
      <xdr:colOff>361440</xdr:colOff>
      <xdr:row>22</xdr:row>
      <xdr:rowOff>34920</xdr:rowOff>
    </xdr:to>
    <xdr:pic>
      <xdr:nvPicPr>
        <xdr:cNvPr id="97" name="Imagen 7" descr=""/>
        <xdr:cNvPicPr/>
      </xdr:nvPicPr>
      <xdr:blipFill>
        <a:blip r:embed="rId13"/>
        <a:stretch/>
      </xdr:blipFill>
      <xdr:spPr>
        <a:xfrm>
          <a:off x="22771080" y="3916080"/>
          <a:ext cx="316440" cy="375120"/>
        </a:xfrm>
        <a:prstGeom prst="rect">
          <a:avLst/>
        </a:prstGeom>
        <a:ln w="0">
          <a:noFill/>
        </a:ln>
      </xdr:spPr>
    </xdr:pic>
    <xdr:clientData/>
  </xdr:twoCellAnchor>
  <xdr:twoCellAnchor editAs="oneCell">
    <xdr:from>
      <xdr:col>30</xdr:col>
      <xdr:colOff>86400</xdr:colOff>
      <xdr:row>75</xdr:row>
      <xdr:rowOff>106560</xdr:rowOff>
    </xdr:from>
    <xdr:to>
      <xdr:col>31</xdr:col>
      <xdr:colOff>17280</xdr:colOff>
      <xdr:row>77</xdr:row>
      <xdr:rowOff>10080</xdr:rowOff>
    </xdr:to>
    <xdr:pic>
      <xdr:nvPicPr>
        <xdr:cNvPr id="98" name="Imagen 8" descr=""/>
        <xdr:cNvPicPr/>
      </xdr:nvPicPr>
      <xdr:blipFill>
        <a:blip r:embed="rId14"/>
        <a:stretch/>
      </xdr:blipFill>
      <xdr:spPr>
        <a:xfrm>
          <a:off x="17533800" y="14510160"/>
          <a:ext cx="268560" cy="284760"/>
        </a:xfrm>
        <a:prstGeom prst="rect">
          <a:avLst/>
        </a:prstGeom>
        <a:ln w="0">
          <a:noFill/>
        </a:ln>
      </xdr:spPr>
    </xdr:pic>
    <xdr:clientData/>
  </xdr:twoCellAnchor>
  <xdr:twoCellAnchor editAs="oneCell">
    <xdr:from>
      <xdr:col>30</xdr:col>
      <xdr:colOff>40680</xdr:colOff>
      <xdr:row>85</xdr:row>
      <xdr:rowOff>181440</xdr:rowOff>
    </xdr:from>
    <xdr:to>
      <xdr:col>30</xdr:col>
      <xdr:colOff>309240</xdr:colOff>
      <xdr:row>87</xdr:row>
      <xdr:rowOff>92880</xdr:rowOff>
    </xdr:to>
    <xdr:pic>
      <xdr:nvPicPr>
        <xdr:cNvPr id="99" name="Imagen 9" descr=""/>
        <xdr:cNvPicPr/>
      </xdr:nvPicPr>
      <xdr:blipFill>
        <a:blip r:embed="rId15"/>
        <a:stretch/>
      </xdr:blipFill>
      <xdr:spPr>
        <a:xfrm>
          <a:off x="17488080" y="16490160"/>
          <a:ext cx="268560" cy="292320"/>
        </a:xfrm>
        <a:prstGeom prst="rect">
          <a:avLst/>
        </a:prstGeom>
        <a:ln w="0">
          <a:noFill/>
        </a:ln>
      </xdr:spPr>
    </xdr:pic>
    <xdr:clientData/>
  </xdr:twoCellAnchor>
  <xdr:twoCellAnchor editAs="oneCell">
    <xdr:from>
      <xdr:col>30</xdr:col>
      <xdr:colOff>88560</xdr:colOff>
      <xdr:row>96</xdr:row>
      <xdr:rowOff>56520</xdr:rowOff>
    </xdr:from>
    <xdr:to>
      <xdr:col>31</xdr:col>
      <xdr:colOff>19440</xdr:colOff>
      <xdr:row>97</xdr:row>
      <xdr:rowOff>158400</xdr:rowOff>
    </xdr:to>
    <xdr:pic>
      <xdr:nvPicPr>
        <xdr:cNvPr id="100" name="Imagen 10" descr=""/>
        <xdr:cNvPicPr/>
      </xdr:nvPicPr>
      <xdr:blipFill>
        <a:blip r:embed="rId16"/>
        <a:stretch/>
      </xdr:blipFill>
      <xdr:spPr>
        <a:xfrm>
          <a:off x="17535960" y="18459360"/>
          <a:ext cx="268560" cy="292320"/>
        </a:xfrm>
        <a:prstGeom prst="rect">
          <a:avLst/>
        </a:prstGeom>
        <a:ln w="0">
          <a:noFill/>
        </a:ln>
      </xdr:spPr>
    </xdr:pic>
    <xdr:clientData/>
  </xdr:twoCellAnchor>
  <xdr:twoCellAnchor editAs="oneCell">
    <xdr:from>
      <xdr:col>52</xdr:col>
      <xdr:colOff>267840</xdr:colOff>
      <xdr:row>1</xdr:row>
      <xdr:rowOff>129600</xdr:rowOff>
    </xdr:from>
    <xdr:to>
      <xdr:col>53</xdr:col>
      <xdr:colOff>111600</xdr:colOff>
      <xdr:row>3</xdr:row>
      <xdr:rowOff>12240</xdr:rowOff>
    </xdr:to>
    <xdr:pic>
      <xdr:nvPicPr>
        <xdr:cNvPr id="101" name="Imagen 206" descr=""/>
        <xdr:cNvPicPr/>
      </xdr:nvPicPr>
      <xdr:blipFill>
        <a:blip r:embed="rId17"/>
        <a:stretch/>
      </xdr:blipFill>
      <xdr:spPr>
        <a:xfrm>
          <a:off x="26603280" y="320040"/>
          <a:ext cx="252000" cy="263880"/>
        </a:xfrm>
        <a:prstGeom prst="rect">
          <a:avLst/>
        </a:prstGeom>
        <a:ln w="0">
          <a:noFill/>
        </a:ln>
      </xdr:spPr>
    </xdr:pic>
    <xdr:clientData/>
  </xdr:twoCellAnchor>
  <xdr:twoCellAnchor editAs="oneCell">
    <xdr:from>
      <xdr:col>46</xdr:col>
      <xdr:colOff>334800</xdr:colOff>
      <xdr:row>118</xdr:row>
      <xdr:rowOff>27000</xdr:rowOff>
    </xdr:from>
    <xdr:to>
      <xdr:col>50</xdr:col>
      <xdr:colOff>321480</xdr:colOff>
      <xdr:row>122</xdr:row>
      <xdr:rowOff>175680</xdr:rowOff>
    </xdr:to>
    <xdr:pic>
      <xdr:nvPicPr>
        <xdr:cNvPr id="102" name="Imagen 207" descr=""/>
        <xdr:cNvPicPr/>
      </xdr:nvPicPr>
      <xdr:blipFill>
        <a:blip r:embed="rId18"/>
        <a:stretch/>
      </xdr:blipFill>
      <xdr:spPr>
        <a:xfrm>
          <a:off x="24048360" y="22620960"/>
          <a:ext cx="1692720" cy="1108080"/>
        </a:xfrm>
        <a:prstGeom prst="rect">
          <a:avLst/>
        </a:prstGeom>
        <a:ln w="0">
          <a:noFill/>
        </a:ln>
      </xdr:spPr>
    </xdr:pic>
    <xdr:clientData/>
  </xdr:twoCellAnchor>
  <xdr:twoCellAnchor editAs="oneCell">
    <xdr:from>
      <xdr:col>41</xdr:col>
      <xdr:colOff>102960</xdr:colOff>
      <xdr:row>118</xdr:row>
      <xdr:rowOff>109800</xdr:rowOff>
    </xdr:from>
    <xdr:to>
      <xdr:col>45</xdr:col>
      <xdr:colOff>168480</xdr:colOff>
      <xdr:row>122</xdr:row>
      <xdr:rowOff>93240</xdr:rowOff>
    </xdr:to>
    <xdr:pic>
      <xdr:nvPicPr>
        <xdr:cNvPr id="103" name="Imagen 208" descr=""/>
        <xdr:cNvPicPr/>
      </xdr:nvPicPr>
      <xdr:blipFill>
        <a:blip r:embed="rId19"/>
        <a:stretch/>
      </xdr:blipFill>
      <xdr:spPr>
        <a:xfrm>
          <a:off x="21807360" y="22703760"/>
          <a:ext cx="1549440" cy="942840"/>
        </a:xfrm>
        <a:prstGeom prst="rect">
          <a:avLst/>
        </a:prstGeom>
        <a:ln w="0">
          <a:noFill/>
        </a:ln>
      </xdr:spPr>
    </xdr:pic>
    <xdr:clientData/>
  </xdr:twoCellAnchor>
  <xdr:twoCellAnchor editAs="oneCell">
    <xdr:from>
      <xdr:col>45</xdr:col>
      <xdr:colOff>92880</xdr:colOff>
      <xdr:row>70</xdr:row>
      <xdr:rowOff>36360</xdr:rowOff>
    </xdr:from>
    <xdr:to>
      <xdr:col>45</xdr:col>
      <xdr:colOff>365040</xdr:colOff>
      <xdr:row>71</xdr:row>
      <xdr:rowOff>99720</xdr:rowOff>
    </xdr:to>
    <xdr:pic>
      <xdr:nvPicPr>
        <xdr:cNvPr id="104" name="Imagen 209" descr=""/>
        <xdr:cNvPicPr/>
      </xdr:nvPicPr>
      <xdr:blipFill>
        <a:blip r:embed="rId20"/>
        <a:stretch/>
      </xdr:blipFill>
      <xdr:spPr>
        <a:xfrm>
          <a:off x="23281200" y="13487400"/>
          <a:ext cx="272160" cy="254160"/>
        </a:xfrm>
        <a:prstGeom prst="rect">
          <a:avLst/>
        </a:prstGeom>
        <a:ln w="0">
          <a:noFill/>
        </a:ln>
      </xdr:spPr>
    </xdr:pic>
    <xdr:clientData/>
  </xdr:twoCellAnchor>
  <xdr:twoCellAnchor editAs="oneCell">
    <xdr:from>
      <xdr:col>45</xdr:col>
      <xdr:colOff>12240</xdr:colOff>
      <xdr:row>80</xdr:row>
      <xdr:rowOff>152640</xdr:rowOff>
    </xdr:from>
    <xdr:to>
      <xdr:col>45</xdr:col>
      <xdr:colOff>284400</xdr:colOff>
      <xdr:row>82</xdr:row>
      <xdr:rowOff>18360</xdr:rowOff>
    </xdr:to>
    <xdr:pic>
      <xdr:nvPicPr>
        <xdr:cNvPr id="105" name="Imagen 210" descr=""/>
        <xdr:cNvPicPr/>
      </xdr:nvPicPr>
      <xdr:blipFill>
        <a:blip r:embed="rId21"/>
        <a:stretch/>
      </xdr:blipFill>
      <xdr:spPr>
        <a:xfrm>
          <a:off x="23200560" y="15508800"/>
          <a:ext cx="272160" cy="246600"/>
        </a:xfrm>
        <a:prstGeom prst="rect">
          <a:avLst/>
        </a:prstGeom>
        <a:ln w="0">
          <a:noFill/>
        </a:ln>
      </xdr:spPr>
    </xdr:pic>
    <xdr:clientData/>
  </xdr:twoCellAnchor>
  <xdr:twoCellAnchor editAs="oneCell">
    <xdr:from>
      <xdr:col>57</xdr:col>
      <xdr:colOff>288000</xdr:colOff>
      <xdr:row>69</xdr:row>
      <xdr:rowOff>195120</xdr:rowOff>
    </xdr:from>
    <xdr:to>
      <xdr:col>65</xdr:col>
      <xdr:colOff>250200</xdr:colOff>
      <xdr:row>77</xdr:row>
      <xdr:rowOff>64080</xdr:rowOff>
    </xdr:to>
    <xdr:pic>
      <xdr:nvPicPr>
        <xdr:cNvPr id="106" name="Imagen 211" descr=""/>
        <xdr:cNvPicPr/>
      </xdr:nvPicPr>
      <xdr:blipFill>
        <a:blip r:embed="rId22"/>
        <a:stretch/>
      </xdr:blipFill>
      <xdr:spPr>
        <a:xfrm>
          <a:off x="28657800" y="13438080"/>
          <a:ext cx="3775320" cy="1410840"/>
        </a:xfrm>
        <a:prstGeom prst="rect">
          <a:avLst/>
        </a:prstGeom>
        <a:ln w="0">
          <a:noFill/>
        </a:ln>
      </xdr:spPr>
    </xdr:pic>
    <xdr:clientData/>
  </xdr:twoCellAnchor>
  <xdr:twoCellAnchor editAs="oneCell">
    <xdr:from>
      <xdr:col>47</xdr:col>
      <xdr:colOff>0</xdr:colOff>
      <xdr:row>86</xdr:row>
      <xdr:rowOff>83880</xdr:rowOff>
    </xdr:from>
    <xdr:to>
      <xdr:col>47</xdr:col>
      <xdr:colOff>272160</xdr:colOff>
      <xdr:row>87</xdr:row>
      <xdr:rowOff>140040</xdr:rowOff>
    </xdr:to>
    <xdr:pic>
      <xdr:nvPicPr>
        <xdr:cNvPr id="107" name="Imagen 212" descr=""/>
        <xdr:cNvPicPr/>
      </xdr:nvPicPr>
      <xdr:blipFill>
        <a:blip r:embed="rId23"/>
        <a:stretch/>
      </xdr:blipFill>
      <xdr:spPr>
        <a:xfrm>
          <a:off x="24113520" y="16583040"/>
          <a:ext cx="272160" cy="246600"/>
        </a:xfrm>
        <a:prstGeom prst="rect">
          <a:avLst/>
        </a:prstGeom>
        <a:ln w="0">
          <a:noFill/>
        </a:ln>
      </xdr:spPr>
    </xdr:pic>
    <xdr:clientData/>
  </xdr:twoCellAnchor>
  <xdr:twoCellAnchor editAs="oneCell">
    <xdr:from>
      <xdr:col>30</xdr:col>
      <xdr:colOff>141480</xdr:colOff>
      <xdr:row>106</xdr:row>
      <xdr:rowOff>137880</xdr:rowOff>
    </xdr:from>
    <xdr:to>
      <xdr:col>31</xdr:col>
      <xdr:colOff>72360</xdr:colOff>
      <xdr:row>108</xdr:row>
      <xdr:rowOff>41760</xdr:rowOff>
    </xdr:to>
    <xdr:pic>
      <xdr:nvPicPr>
        <xdr:cNvPr id="108" name="Imagen 213" descr=""/>
        <xdr:cNvPicPr/>
      </xdr:nvPicPr>
      <xdr:blipFill>
        <a:blip r:embed="rId24"/>
        <a:stretch/>
      </xdr:blipFill>
      <xdr:spPr>
        <a:xfrm>
          <a:off x="17588880" y="20445840"/>
          <a:ext cx="268560" cy="284760"/>
        </a:xfrm>
        <a:prstGeom prst="rect">
          <a:avLst/>
        </a:prstGeom>
        <a:ln w="0">
          <a:noFill/>
        </a:ln>
      </xdr:spPr>
    </xdr:pic>
    <xdr:clientData/>
  </xdr:twoCellAnchor>
  <xdr:twoCellAnchor editAs="oneCell">
    <xdr:from>
      <xdr:col>30</xdr:col>
      <xdr:colOff>44280</xdr:colOff>
      <xdr:row>116</xdr:row>
      <xdr:rowOff>169200</xdr:rowOff>
    </xdr:from>
    <xdr:to>
      <xdr:col>30</xdr:col>
      <xdr:colOff>312840</xdr:colOff>
      <xdr:row>118</xdr:row>
      <xdr:rowOff>80640</xdr:rowOff>
    </xdr:to>
    <xdr:pic>
      <xdr:nvPicPr>
        <xdr:cNvPr id="109" name="Imagen 214" descr=""/>
        <xdr:cNvPicPr/>
      </xdr:nvPicPr>
      <xdr:blipFill>
        <a:blip r:embed="rId25"/>
        <a:stretch/>
      </xdr:blipFill>
      <xdr:spPr>
        <a:xfrm>
          <a:off x="17491680" y="22382280"/>
          <a:ext cx="268560" cy="292320"/>
        </a:xfrm>
        <a:prstGeom prst="rect">
          <a:avLst/>
        </a:prstGeom>
        <a:ln w="0">
          <a:noFill/>
        </a:ln>
      </xdr:spPr>
    </xdr:pic>
    <xdr:clientData/>
  </xdr:twoCellAnchor>
  <xdr:twoCellAnchor editAs="oneCell">
    <xdr:from>
      <xdr:col>30</xdr:col>
      <xdr:colOff>105120</xdr:colOff>
      <xdr:row>127</xdr:row>
      <xdr:rowOff>126000</xdr:rowOff>
    </xdr:from>
    <xdr:to>
      <xdr:col>31</xdr:col>
      <xdr:colOff>36000</xdr:colOff>
      <xdr:row>129</xdr:row>
      <xdr:rowOff>29880</xdr:rowOff>
    </xdr:to>
    <xdr:pic>
      <xdr:nvPicPr>
        <xdr:cNvPr id="110" name="Imagen 215" descr=""/>
        <xdr:cNvPicPr/>
      </xdr:nvPicPr>
      <xdr:blipFill>
        <a:blip r:embed="rId26"/>
        <a:stretch/>
      </xdr:blipFill>
      <xdr:spPr>
        <a:xfrm>
          <a:off x="17552520" y="24631920"/>
          <a:ext cx="268560" cy="284760"/>
        </a:xfrm>
        <a:prstGeom prst="rect">
          <a:avLst/>
        </a:prstGeom>
        <a:ln w="0">
          <a:noFill/>
        </a:ln>
      </xdr:spPr>
    </xdr:pic>
    <xdr:clientData/>
  </xdr:twoCellAnchor>
  <xdr:twoCellAnchor editAs="oneCell">
    <xdr:from>
      <xdr:col>61</xdr:col>
      <xdr:colOff>156960</xdr:colOff>
      <xdr:row>86</xdr:row>
      <xdr:rowOff>76320</xdr:rowOff>
    </xdr:from>
    <xdr:to>
      <xdr:col>61</xdr:col>
      <xdr:colOff>425520</xdr:colOff>
      <xdr:row>87</xdr:row>
      <xdr:rowOff>178200</xdr:rowOff>
    </xdr:to>
    <xdr:pic>
      <xdr:nvPicPr>
        <xdr:cNvPr id="111" name="Imagen 216" descr=""/>
        <xdr:cNvPicPr/>
      </xdr:nvPicPr>
      <xdr:blipFill>
        <a:blip r:embed="rId27"/>
        <a:stretch/>
      </xdr:blipFill>
      <xdr:spPr>
        <a:xfrm>
          <a:off x="30615840" y="16575480"/>
          <a:ext cx="268560" cy="292320"/>
        </a:xfrm>
        <a:prstGeom prst="rect">
          <a:avLst/>
        </a:prstGeom>
        <a:ln w="0">
          <a:noFill/>
        </a:ln>
      </xdr:spPr>
    </xdr:pic>
    <xdr:clientData/>
  </xdr:twoCellAnchor>
  <xdr:twoCellAnchor editAs="oneCell">
    <xdr:from>
      <xdr:col>47</xdr:col>
      <xdr:colOff>0</xdr:colOff>
      <xdr:row>96</xdr:row>
      <xdr:rowOff>66240</xdr:rowOff>
    </xdr:from>
    <xdr:to>
      <xdr:col>47</xdr:col>
      <xdr:colOff>272160</xdr:colOff>
      <xdr:row>97</xdr:row>
      <xdr:rowOff>122400</xdr:rowOff>
    </xdr:to>
    <xdr:pic>
      <xdr:nvPicPr>
        <xdr:cNvPr id="112" name="Imagen 220" descr=""/>
        <xdr:cNvPicPr/>
      </xdr:nvPicPr>
      <xdr:blipFill>
        <a:blip r:embed="rId28"/>
        <a:stretch/>
      </xdr:blipFill>
      <xdr:spPr>
        <a:xfrm>
          <a:off x="24113520" y="18469080"/>
          <a:ext cx="272160" cy="246600"/>
        </a:xfrm>
        <a:prstGeom prst="rect">
          <a:avLst/>
        </a:prstGeom>
        <a:ln w="0">
          <a:noFill/>
        </a:ln>
      </xdr:spPr>
    </xdr:pic>
    <xdr:clientData/>
  </xdr:twoCellAnchor>
  <xdr:twoCellAnchor editAs="oneCell">
    <xdr:from>
      <xdr:col>48</xdr:col>
      <xdr:colOff>20160</xdr:colOff>
      <xdr:row>105</xdr:row>
      <xdr:rowOff>175680</xdr:rowOff>
    </xdr:from>
    <xdr:to>
      <xdr:col>48</xdr:col>
      <xdr:colOff>288720</xdr:colOff>
      <xdr:row>107</xdr:row>
      <xdr:rowOff>87120</xdr:rowOff>
    </xdr:to>
    <xdr:pic>
      <xdr:nvPicPr>
        <xdr:cNvPr id="113" name="Imagen 221" descr=""/>
        <xdr:cNvPicPr/>
      </xdr:nvPicPr>
      <xdr:blipFill>
        <a:blip r:embed="rId29"/>
        <a:stretch/>
      </xdr:blipFill>
      <xdr:spPr>
        <a:xfrm>
          <a:off x="24533640" y="20293200"/>
          <a:ext cx="268560" cy="292320"/>
        </a:xfrm>
        <a:prstGeom prst="rect">
          <a:avLst/>
        </a:prstGeom>
        <a:ln w="0">
          <a:noFill/>
        </a:ln>
      </xdr:spPr>
    </xdr:pic>
    <xdr:clientData/>
  </xdr:twoCellAnchor>
  <xdr:twoCellAnchor editAs="oneCell">
    <xdr:from>
      <xdr:col>45</xdr:col>
      <xdr:colOff>70560</xdr:colOff>
      <xdr:row>126</xdr:row>
      <xdr:rowOff>27000</xdr:rowOff>
    </xdr:from>
    <xdr:to>
      <xdr:col>45</xdr:col>
      <xdr:colOff>339120</xdr:colOff>
      <xdr:row>127</xdr:row>
      <xdr:rowOff>128880</xdr:rowOff>
    </xdr:to>
    <xdr:pic>
      <xdr:nvPicPr>
        <xdr:cNvPr id="114" name="Imagen 222" descr=""/>
        <xdr:cNvPicPr/>
      </xdr:nvPicPr>
      <xdr:blipFill>
        <a:blip r:embed="rId30"/>
        <a:stretch/>
      </xdr:blipFill>
      <xdr:spPr>
        <a:xfrm>
          <a:off x="23258880" y="24342480"/>
          <a:ext cx="268560" cy="292320"/>
        </a:xfrm>
        <a:prstGeom prst="rect">
          <a:avLst/>
        </a:prstGeom>
        <a:ln w="0">
          <a:noFill/>
        </a:ln>
      </xdr:spPr>
    </xdr:pic>
    <xdr:clientData/>
  </xdr:twoCellAnchor>
  <xdr:twoCellAnchor editAs="oneCell">
    <xdr:from>
      <xdr:col>20</xdr:col>
      <xdr:colOff>53280</xdr:colOff>
      <xdr:row>163</xdr:row>
      <xdr:rowOff>54360</xdr:rowOff>
    </xdr:from>
    <xdr:to>
      <xdr:col>20</xdr:col>
      <xdr:colOff>321840</xdr:colOff>
      <xdr:row>164</xdr:row>
      <xdr:rowOff>160200</xdr:rowOff>
    </xdr:to>
    <xdr:pic>
      <xdr:nvPicPr>
        <xdr:cNvPr id="115" name="Imagen 6" descr=""/>
        <xdr:cNvPicPr/>
      </xdr:nvPicPr>
      <xdr:blipFill>
        <a:blip r:embed="rId31"/>
        <a:stretch/>
      </xdr:blipFill>
      <xdr:spPr>
        <a:xfrm>
          <a:off x="13509720" y="31881240"/>
          <a:ext cx="268560" cy="277200"/>
        </a:xfrm>
        <a:prstGeom prst="rect">
          <a:avLst/>
        </a:prstGeom>
        <a:ln w="0">
          <a:noFill/>
        </a:ln>
      </xdr:spPr>
    </xdr:pic>
    <xdr:clientData/>
  </xdr:twoCellAnchor>
  <xdr:twoCellAnchor editAs="oneCell">
    <xdr:from>
      <xdr:col>32</xdr:col>
      <xdr:colOff>77760</xdr:colOff>
      <xdr:row>164</xdr:row>
      <xdr:rowOff>167760</xdr:rowOff>
    </xdr:from>
    <xdr:to>
      <xdr:col>32</xdr:col>
      <xdr:colOff>346320</xdr:colOff>
      <xdr:row>166</xdr:row>
      <xdr:rowOff>101880</xdr:rowOff>
    </xdr:to>
    <xdr:pic>
      <xdr:nvPicPr>
        <xdr:cNvPr id="116" name="Imagen 13" descr=""/>
        <xdr:cNvPicPr/>
      </xdr:nvPicPr>
      <xdr:blipFill>
        <a:blip r:embed="rId32"/>
        <a:stretch/>
      </xdr:blipFill>
      <xdr:spPr>
        <a:xfrm>
          <a:off x="18191160" y="32166000"/>
          <a:ext cx="268560" cy="277200"/>
        </a:xfrm>
        <a:prstGeom prst="rect">
          <a:avLst/>
        </a:prstGeom>
        <a:ln w="0">
          <a:noFill/>
        </a:ln>
      </xdr:spPr>
    </xdr:pic>
    <xdr:clientData/>
  </xdr:twoCellAnchor>
  <xdr:twoCellAnchor editAs="oneCell">
    <xdr:from>
      <xdr:col>38</xdr:col>
      <xdr:colOff>111960</xdr:colOff>
      <xdr:row>164</xdr:row>
      <xdr:rowOff>167760</xdr:rowOff>
    </xdr:from>
    <xdr:to>
      <xdr:col>38</xdr:col>
      <xdr:colOff>380520</xdr:colOff>
      <xdr:row>166</xdr:row>
      <xdr:rowOff>101880</xdr:rowOff>
    </xdr:to>
    <xdr:pic>
      <xdr:nvPicPr>
        <xdr:cNvPr id="117" name="Imagen 14" descr=""/>
        <xdr:cNvPicPr/>
      </xdr:nvPicPr>
      <xdr:blipFill>
        <a:blip r:embed="rId33"/>
        <a:stretch/>
      </xdr:blipFill>
      <xdr:spPr>
        <a:xfrm>
          <a:off x="20625480" y="32166000"/>
          <a:ext cx="268560" cy="277200"/>
        </a:xfrm>
        <a:prstGeom prst="rect">
          <a:avLst/>
        </a:prstGeom>
        <a:ln w="0">
          <a:noFill/>
        </a:ln>
      </xdr:spPr>
    </xdr:pic>
    <xdr:clientData/>
  </xdr:twoCellAnchor>
  <xdr:twoCellAnchor editAs="oneCell">
    <xdr:from>
      <xdr:col>20</xdr:col>
      <xdr:colOff>109440</xdr:colOff>
      <xdr:row>176</xdr:row>
      <xdr:rowOff>23760</xdr:rowOff>
    </xdr:from>
    <xdr:to>
      <xdr:col>20</xdr:col>
      <xdr:colOff>378000</xdr:colOff>
      <xdr:row>177</xdr:row>
      <xdr:rowOff>118080</xdr:rowOff>
    </xdr:to>
    <xdr:pic>
      <xdr:nvPicPr>
        <xdr:cNvPr id="118" name="Imagen 15" descr=""/>
        <xdr:cNvPicPr/>
      </xdr:nvPicPr>
      <xdr:blipFill>
        <a:blip r:embed="rId34"/>
        <a:stretch/>
      </xdr:blipFill>
      <xdr:spPr>
        <a:xfrm>
          <a:off x="13565880" y="34155720"/>
          <a:ext cx="268560" cy="284760"/>
        </a:xfrm>
        <a:prstGeom prst="rect">
          <a:avLst/>
        </a:prstGeom>
        <a:ln w="0">
          <a:noFill/>
        </a:ln>
      </xdr:spPr>
    </xdr:pic>
    <xdr:clientData/>
  </xdr:twoCellAnchor>
  <xdr:twoCellAnchor editAs="oneCell">
    <xdr:from>
      <xdr:col>37</xdr:col>
      <xdr:colOff>42840</xdr:colOff>
      <xdr:row>183</xdr:row>
      <xdr:rowOff>73800</xdr:rowOff>
    </xdr:from>
    <xdr:to>
      <xdr:col>37</xdr:col>
      <xdr:colOff>311400</xdr:colOff>
      <xdr:row>184</xdr:row>
      <xdr:rowOff>168120</xdr:rowOff>
    </xdr:to>
    <xdr:pic>
      <xdr:nvPicPr>
        <xdr:cNvPr id="119" name="Imagen 16" descr=""/>
        <xdr:cNvPicPr/>
      </xdr:nvPicPr>
      <xdr:blipFill>
        <a:blip r:embed="rId35"/>
        <a:stretch/>
      </xdr:blipFill>
      <xdr:spPr>
        <a:xfrm>
          <a:off x="20156400" y="35539200"/>
          <a:ext cx="268560" cy="2847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58320</xdr:colOff>
      <xdr:row>9</xdr:row>
      <xdr:rowOff>98280</xdr:rowOff>
    </xdr:from>
    <xdr:to>
      <xdr:col>17</xdr:col>
      <xdr:colOff>288360</xdr:colOff>
      <xdr:row>10</xdr:row>
      <xdr:rowOff>161280</xdr:rowOff>
    </xdr:to>
    <xdr:pic>
      <xdr:nvPicPr>
        <xdr:cNvPr id="120" name="Imagen 2" descr=""/>
        <xdr:cNvPicPr/>
      </xdr:nvPicPr>
      <xdr:blipFill>
        <a:blip r:embed="rId1"/>
        <a:stretch/>
      </xdr:blipFill>
      <xdr:spPr>
        <a:xfrm>
          <a:off x="22648320" y="2259720"/>
          <a:ext cx="230040" cy="253440"/>
        </a:xfrm>
        <a:prstGeom prst="rect">
          <a:avLst/>
        </a:prstGeom>
        <a:ln w="0">
          <a:noFill/>
        </a:ln>
      </xdr:spPr>
    </xdr:pic>
    <xdr:clientData/>
  </xdr:twoCellAnchor>
  <xdr:twoCellAnchor editAs="oneCell">
    <xdr:from>
      <xdr:col>26</xdr:col>
      <xdr:colOff>315720</xdr:colOff>
      <xdr:row>9</xdr:row>
      <xdr:rowOff>159120</xdr:rowOff>
    </xdr:from>
    <xdr:to>
      <xdr:col>27</xdr:col>
      <xdr:colOff>248760</xdr:colOff>
      <xdr:row>11</xdr:row>
      <xdr:rowOff>44640</xdr:rowOff>
    </xdr:to>
    <xdr:pic>
      <xdr:nvPicPr>
        <xdr:cNvPr id="121" name="Imagen 4" descr=""/>
        <xdr:cNvPicPr/>
      </xdr:nvPicPr>
      <xdr:blipFill>
        <a:blip r:embed="rId2"/>
        <a:stretch/>
      </xdr:blipFill>
      <xdr:spPr>
        <a:xfrm>
          <a:off x="26646120" y="2320560"/>
          <a:ext cx="324000" cy="266760"/>
        </a:xfrm>
        <a:prstGeom prst="rect">
          <a:avLst/>
        </a:prstGeom>
        <a:ln w="0">
          <a:noFill/>
        </a:ln>
      </xdr:spPr>
    </xdr:pic>
    <xdr:clientData/>
  </xdr:twoCellAnchor>
  <xdr:twoCellAnchor editAs="oneCell">
    <xdr:from>
      <xdr:col>17</xdr:col>
      <xdr:colOff>58320</xdr:colOff>
      <xdr:row>21</xdr:row>
      <xdr:rowOff>20880</xdr:rowOff>
    </xdr:from>
    <xdr:to>
      <xdr:col>17</xdr:col>
      <xdr:colOff>284400</xdr:colOff>
      <xdr:row>22</xdr:row>
      <xdr:rowOff>50040</xdr:rowOff>
    </xdr:to>
    <xdr:pic>
      <xdr:nvPicPr>
        <xdr:cNvPr id="122" name="Imagen 5" descr=""/>
        <xdr:cNvPicPr/>
      </xdr:nvPicPr>
      <xdr:blipFill>
        <a:blip r:embed="rId3"/>
        <a:stretch/>
      </xdr:blipFill>
      <xdr:spPr>
        <a:xfrm>
          <a:off x="22648320" y="4606200"/>
          <a:ext cx="226080" cy="219600"/>
        </a:xfrm>
        <a:prstGeom prst="rect">
          <a:avLst/>
        </a:prstGeom>
        <a:ln w="0">
          <a:noFill/>
        </a:ln>
      </xdr:spPr>
    </xdr:pic>
    <xdr:clientData/>
  </xdr:twoCellAnchor>
  <xdr:twoCellAnchor editAs="oneCell">
    <xdr:from>
      <xdr:col>27</xdr:col>
      <xdr:colOff>41400</xdr:colOff>
      <xdr:row>21</xdr:row>
      <xdr:rowOff>43920</xdr:rowOff>
    </xdr:from>
    <xdr:to>
      <xdr:col>27</xdr:col>
      <xdr:colOff>302040</xdr:colOff>
      <xdr:row>22</xdr:row>
      <xdr:rowOff>109080</xdr:rowOff>
    </xdr:to>
    <xdr:pic>
      <xdr:nvPicPr>
        <xdr:cNvPr id="123" name="Imagen 6" descr=""/>
        <xdr:cNvPicPr/>
      </xdr:nvPicPr>
      <xdr:blipFill>
        <a:blip r:embed="rId4"/>
        <a:stretch/>
      </xdr:blipFill>
      <xdr:spPr>
        <a:xfrm>
          <a:off x="26762760" y="4629240"/>
          <a:ext cx="260640" cy="255600"/>
        </a:xfrm>
        <a:prstGeom prst="rect">
          <a:avLst/>
        </a:prstGeom>
        <a:ln w="0">
          <a:noFill/>
        </a:ln>
      </xdr:spPr>
    </xdr:pic>
    <xdr:clientData/>
  </xdr:twoCellAnchor>
  <xdr:twoCellAnchor editAs="oneCell">
    <xdr:from>
      <xdr:col>17</xdr:col>
      <xdr:colOff>87120</xdr:colOff>
      <xdr:row>31</xdr:row>
      <xdr:rowOff>53280</xdr:rowOff>
    </xdr:from>
    <xdr:to>
      <xdr:col>17</xdr:col>
      <xdr:colOff>324720</xdr:colOff>
      <xdr:row>32</xdr:row>
      <xdr:rowOff>49680</xdr:rowOff>
    </xdr:to>
    <xdr:pic>
      <xdr:nvPicPr>
        <xdr:cNvPr id="124" name="Imagen 7" descr=""/>
        <xdr:cNvPicPr/>
      </xdr:nvPicPr>
      <xdr:blipFill>
        <a:blip r:embed="rId5"/>
        <a:stretch/>
      </xdr:blipFill>
      <xdr:spPr>
        <a:xfrm>
          <a:off x="22677120" y="6543720"/>
          <a:ext cx="237600" cy="186840"/>
        </a:xfrm>
        <a:prstGeom prst="rect">
          <a:avLst/>
        </a:prstGeom>
        <a:ln w="0">
          <a:noFill/>
        </a:ln>
      </xdr:spPr>
    </xdr:pic>
    <xdr:clientData/>
  </xdr:twoCellAnchor>
  <xdr:twoCellAnchor editAs="oneCell">
    <xdr:from>
      <xdr:col>26</xdr:col>
      <xdr:colOff>324360</xdr:colOff>
      <xdr:row>30</xdr:row>
      <xdr:rowOff>121680</xdr:rowOff>
    </xdr:from>
    <xdr:to>
      <xdr:col>27</xdr:col>
      <xdr:colOff>202320</xdr:colOff>
      <xdr:row>32</xdr:row>
      <xdr:rowOff>33120</xdr:rowOff>
    </xdr:to>
    <xdr:pic>
      <xdr:nvPicPr>
        <xdr:cNvPr id="125" name="Imagen 8" descr=""/>
        <xdr:cNvPicPr/>
      </xdr:nvPicPr>
      <xdr:blipFill>
        <a:blip r:embed="rId6"/>
        <a:stretch/>
      </xdr:blipFill>
      <xdr:spPr>
        <a:xfrm>
          <a:off x="26654760" y="6421680"/>
          <a:ext cx="268920" cy="292320"/>
        </a:xfrm>
        <a:prstGeom prst="rect">
          <a:avLst/>
        </a:prstGeom>
        <a:ln w="0">
          <a:noFill/>
        </a:ln>
      </xdr:spPr>
    </xdr:pic>
    <xdr:clientData/>
  </xdr:twoCellAnchor>
  <xdr:twoCellAnchor editAs="oneCell">
    <xdr:from>
      <xdr:col>17</xdr:col>
      <xdr:colOff>117360</xdr:colOff>
      <xdr:row>43</xdr:row>
      <xdr:rowOff>78840</xdr:rowOff>
    </xdr:from>
    <xdr:to>
      <xdr:col>17</xdr:col>
      <xdr:colOff>385920</xdr:colOff>
      <xdr:row>44</xdr:row>
      <xdr:rowOff>173160</xdr:rowOff>
    </xdr:to>
    <xdr:pic>
      <xdr:nvPicPr>
        <xdr:cNvPr id="126" name="Imagen 9" descr=""/>
        <xdr:cNvPicPr/>
      </xdr:nvPicPr>
      <xdr:blipFill>
        <a:blip r:embed="rId7"/>
        <a:stretch/>
      </xdr:blipFill>
      <xdr:spPr>
        <a:xfrm>
          <a:off x="22707360" y="8855280"/>
          <a:ext cx="268560" cy="284760"/>
        </a:xfrm>
        <a:prstGeom prst="rect">
          <a:avLst/>
        </a:prstGeom>
        <a:ln w="0">
          <a:noFill/>
        </a:ln>
      </xdr:spPr>
    </xdr:pic>
    <xdr:clientData/>
  </xdr:twoCellAnchor>
  <xdr:twoCellAnchor editAs="oneCell">
    <xdr:from>
      <xdr:col>17</xdr:col>
      <xdr:colOff>97200</xdr:colOff>
      <xdr:row>54</xdr:row>
      <xdr:rowOff>1800</xdr:rowOff>
    </xdr:from>
    <xdr:to>
      <xdr:col>17</xdr:col>
      <xdr:colOff>365760</xdr:colOff>
      <xdr:row>55</xdr:row>
      <xdr:rowOff>96120</xdr:rowOff>
    </xdr:to>
    <xdr:pic>
      <xdr:nvPicPr>
        <xdr:cNvPr id="127" name="Imagen 10" descr=""/>
        <xdr:cNvPicPr/>
      </xdr:nvPicPr>
      <xdr:blipFill>
        <a:blip r:embed="rId8"/>
        <a:stretch/>
      </xdr:blipFill>
      <xdr:spPr>
        <a:xfrm>
          <a:off x="22687200" y="10873800"/>
          <a:ext cx="268560" cy="284760"/>
        </a:xfrm>
        <a:prstGeom prst="rect">
          <a:avLst/>
        </a:prstGeom>
        <a:ln w="0">
          <a:noFill/>
        </a:ln>
      </xdr:spPr>
    </xdr:pic>
    <xdr:clientData/>
  </xdr:twoCellAnchor>
  <xdr:twoCellAnchor editAs="oneCell">
    <xdr:from>
      <xdr:col>18</xdr:col>
      <xdr:colOff>86400</xdr:colOff>
      <xdr:row>66</xdr:row>
      <xdr:rowOff>18720</xdr:rowOff>
    </xdr:from>
    <xdr:to>
      <xdr:col>18</xdr:col>
      <xdr:colOff>354960</xdr:colOff>
      <xdr:row>67</xdr:row>
      <xdr:rowOff>113040</xdr:rowOff>
    </xdr:to>
    <xdr:pic>
      <xdr:nvPicPr>
        <xdr:cNvPr id="128" name="Imagen 11" descr=""/>
        <xdr:cNvPicPr/>
      </xdr:nvPicPr>
      <xdr:blipFill>
        <a:blip r:embed="rId9"/>
        <a:stretch/>
      </xdr:blipFill>
      <xdr:spPr>
        <a:xfrm>
          <a:off x="23129280" y="13176720"/>
          <a:ext cx="268560" cy="284760"/>
        </a:xfrm>
        <a:prstGeom prst="rect">
          <a:avLst/>
        </a:prstGeom>
        <a:ln w="0">
          <a:noFill/>
        </a:ln>
      </xdr:spPr>
    </xdr:pic>
    <xdr:clientData/>
  </xdr:twoCellAnchor>
  <xdr:twoCellAnchor editAs="oneCell">
    <xdr:from>
      <xdr:col>23</xdr:col>
      <xdr:colOff>86400</xdr:colOff>
      <xdr:row>66</xdr:row>
      <xdr:rowOff>18720</xdr:rowOff>
    </xdr:from>
    <xdr:to>
      <xdr:col>23</xdr:col>
      <xdr:colOff>354960</xdr:colOff>
      <xdr:row>67</xdr:row>
      <xdr:rowOff>113040</xdr:rowOff>
    </xdr:to>
    <xdr:pic>
      <xdr:nvPicPr>
        <xdr:cNvPr id="129" name="Imagen 12" descr=""/>
        <xdr:cNvPicPr/>
      </xdr:nvPicPr>
      <xdr:blipFill>
        <a:blip r:embed="rId10"/>
        <a:stretch/>
      </xdr:blipFill>
      <xdr:spPr>
        <a:xfrm>
          <a:off x="25216560" y="13176720"/>
          <a:ext cx="268560" cy="284760"/>
        </a:xfrm>
        <a:prstGeom prst="rect">
          <a:avLst/>
        </a:prstGeom>
        <a:ln w="0">
          <a:noFill/>
        </a:ln>
      </xdr:spPr>
    </xdr:pic>
    <xdr:clientData/>
  </xdr:twoCellAnchor>
  <xdr:twoCellAnchor editAs="oneCell">
    <xdr:from>
      <xdr:col>18</xdr:col>
      <xdr:colOff>44640</xdr:colOff>
      <xdr:row>77</xdr:row>
      <xdr:rowOff>127440</xdr:rowOff>
    </xdr:from>
    <xdr:to>
      <xdr:col>18</xdr:col>
      <xdr:colOff>313200</xdr:colOff>
      <xdr:row>79</xdr:row>
      <xdr:rowOff>38520</xdr:rowOff>
    </xdr:to>
    <xdr:pic>
      <xdr:nvPicPr>
        <xdr:cNvPr id="130" name="Imagen 13" descr=""/>
        <xdr:cNvPicPr/>
      </xdr:nvPicPr>
      <xdr:blipFill>
        <a:blip r:embed="rId11"/>
        <a:stretch/>
      </xdr:blipFill>
      <xdr:spPr>
        <a:xfrm>
          <a:off x="23087520" y="15380640"/>
          <a:ext cx="268560" cy="292320"/>
        </a:xfrm>
        <a:prstGeom prst="rect">
          <a:avLst/>
        </a:prstGeom>
        <a:ln w="0">
          <a:noFill/>
        </a:ln>
      </xdr:spPr>
    </xdr:pic>
    <xdr:clientData/>
  </xdr:twoCellAnchor>
  <xdr:twoCellAnchor editAs="oneCell">
    <xdr:from>
      <xdr:col>18</xdr:col>
      <xdr:colOff>86400</xdr:colOff>
      <xdr:row>89</xdr:row>
      <xdr:rowOff>19080</xdr:rowOff>
    </xdr:from>
    <xdr:to>
      <xdr:col>18</xdr:col>
      <xdr:colOff>354960</xdr:colOff>
      <xdr:row>90</xdr:row>
      <xdr:rowOff>113040</xdr:rowOff>
    </xdr:to>
    <xdr:pic>
      <xdr:nvPicPr>
        <xdr:cNvPr id="131" name="Imagen 14" descr=""/>
        <xdr:cNvPicPr/>
      </xdr:nvPicPr>
      <xdr:blipFill>
        <a:blip r:embed="rId12"/>
        <a:stretch/>
      </xdr:blipFill>
      <xdr:spPr>
        <a:xfrm>
          <a:off x="23129280" y="17558280"/>
          <a:ext cx="268560" cy="284760"/>
        </a:xfrm>
        <a:prstGeom prst="rect">
          <a:avLst/>
        </a:prstGeom>
        <a:ln w="0">
          <a:noFill/>
        </a:ln>
      </xdr:spPr>
    </xdr:pic>
    <xdr:clientData/>
  </xdr:twoCellAnchor>
  <xdr:twoCellAnchor editAs="oneCell">
    <xdr:from>
      <xdr:col>28</xdr:col>
      <xdr:colOff>38160</xdr:colOff>
      <xdr:row>90</xdr:row>
      <xdr:rowOff>64800</xdr:rowOff>
    </xdr:from>
    <xdr:to>
      <xdr:col>28</xdr:col>
      <xdr:colOff>306720</xdr:colOff>
      <xdr:row>91</xdr:row>
      <xdr:rowOff>159120</xdr:rowOff>
    </xdr:to>
    <xdr:pic>
      <xdr:nvPicPr>
        <xdr:cNvPr id="132" name="Imagen 15" descr=""/>
        <xdr:cNvPicPr/>
      </xdr:nvPicPr>
      <xdr:blipFill>
        <a:blip r:embed="rId13"/>
        <a:stretch/>
      </xdr:blipFill>
      <xdr:spPr>
        <a:xfrm>
          <a:off x="27114480" y="17794800"/>
          <a:ext cx="268560" cy="284760"/>
        </a:xfrm>
        <a:prstGeom prst="rect">
          <a:avLst/>
        </a:prstGeom>
        <a:ln w="0">
          <a:noFill/>
        </a:ln>
      </xdr:spPr>
    </xdr:pic>
    <xdr:clientData/>
  </xdr:twoCellAnchor>
  <xdr:twoCellAnchor editAs="oneCell">
    <xdr:from>
      <xdr:col>0</xdr:col>
      <xdr:colOff>738360</xdr:colOff>
      <xdr:row>0</xdr:row>
      <xdr:rowOff>85680</xdr:rowOff>
    </xdr:from>
    <xdr:to>
      <xdr:col>1</xdr:col>
      <xdr:colOff>1596600</xdr:colOff>
      <xdr:row>9</xdr:row>
      <xdr:rowOff>62280</xdr:rowOff>
    </xdr:to>
    <xdr:pic>
      <xdr:nvPicPr>
        <xdr:cNvPr id="133" name="Imagen 3" descr=""/>
        <xdr:cNvPicPr/>
      </xdr:nvPicPr>
      <xdr:blipFill>
        <a:blip r:embed="rId14"/>
        <a:stretch/>
      </xdr:blipFill>
      <xdr:spPr>
        <a:xfrm>
          <a:off x="738360" y="85680"/>
          <a:ext cx="1738440" cy="2138040"/>
        </a:xfrm>
        <a:prstGeom prst="rect">
          <a:avLst/>
        </a:prstGeom>
        <a:ln w="0">
          <a:noFill/>
        </a:ln>
      </xdr:spPr>
    </xdr:pic>
    <xdr:clientData/>
  </xdr:twoCellAnchor>
  <xdr:twoCellAnchor editAs="oneCell">
    <xdr:from>
      <xdr:col>36</xdr:col>
      <xdr:colOff>636120</xdr:colOff>
      <xdr:row>14</xdr:row>
      <xdr:rowOff>51480</xdr:rowOff>
    </xdr:from>
    <xdr:to>
      <xdr:col>48</xdr:col>
      <xdr:colOff>864000</xdr:colOff>
      <xdr:row>16</xdr:row>
      <xdr:rowOff>17280</xdr:rowOff>
    </xdr:to>
    <xdr:pic>
      <xdr:nvPicPr>
        <xdr:cNvPr id="134" name="Imagen 16" descr=""/>
        <xdr:cNvPicPr/>
      </xdr:nvPicPr>
      <xdr:blipFill>
        <a:blip r:embed="rId15"/>
        <a:stretch/>
      </xdr:blipFill>
      <xdr:spPr>
        <a:xfrm>
          <a:off x="31417200" y="3165480"/>
          <a:ext cx="7178400" cy="484560"/>
        </a:xfrm>
        <a:prstGeom prst="rect">
          <a:avLst/>
        </a:prstGeom>
        <a:ln w="0">
          <a:noFill/>
        </a:ln>
      </xdr:spPr>
    </xdr:pic>
    <xdr:clientData/>
  </xdr:twoCellAnchor>
  <xdr:twoCellAnchor editAs="oneCell">
    <xdr:from>
      <xdr:col>55</xdr:col>
      <xdr:colOff>152640</xdr:colOff>
      <xdr:row>3</xdr:row>
      <xdr:rowOff>82800</xdr:rowOff>
    </xdr:from>
    <xdr:to>
      <xdr:col>55</xdr:col>
      <xdr:colOff>587880</xdr:colOff>
      <xdr:row>5</xdr:row>
      <xdr:rowOff>182880</xdr:rowOff>
    </xdr:to>
    <xdr:pic>
      <xdr:nvPicPr>
        <xdr:cNvPr id="135" name="Imagen 17" descr=""/>
        <xdr:cNvPicPr/>
      </xdr:nvPicPr>
      <xdr:blipFill>
        <a:blip r:embed="rId16"/>
        <a:stretch/>
      </xdr:blipFill>
      <xdr:spPr>
        <a:xfrm>
          <a:off x="43074360" y="1101240"/>
          <a:ext cx="435240" cy="481320"/>
        </a:xfrm>
        <a:prstGeom prst="rect">
          <a:avLst/>
        </a:prstGeom>
        <a:ln w="0">
          <a:noFill/>
        </a:ln>
      </xdr:spPr>
    </xdr:pic>
    <xdr:clientData/>
  </xdr:twoCellAnchor>
  <xdr:twoCellAnchor editAs="oneCell">
    <xdr:from>
      <xdr:col>62</xdr:col>
      <xdr:colOff>175320</xdr:colOff>
      <xdr:row>3</xdr:row>
      <xdr:rowOff>189360</xdr:rowOff>
    </xdr:from>
    <xdr:to>
      <xdr:col>62</xdr:col>
      <xdr:colOff>590400</xdr:colOff>
      <xdr:row>6</xdr:row>
      <xdr:rowOff>81720</xdr:rowOff>
    </xdr:to>
    <xdr:pic>
      <xdr:nvPicPr>
        <xdr:cNvPr id="136" name="Imagen 18" descr=""/>
        <xdr:cNvPicPr/>
      </xdr:nvPicPr>
      <xdr:blipFill>
        <a:blip r:embed="rId17"/>
        <a:stretch/>
      </xdr:blipFill>
      <xdr:spPr>
        <a:xfrm>
          <a:off x="46713240" y="1207800"/>
          <a:ext cx="415080" cy="464040"/>
        </a:xfrm>
        <a:prstGeom prst="rect">
          <a:avLst/>
        </a:prstGeom>
        <a:ln w="0">
          <a:noFill/>
        </a:ln>
      </xdr:spPr>
    </xdr:pic>
    <xdr:clientData/>
  </xdr:twoCellAnchor>
  <xdr:twoCellAnchor editAs="twoCell">
    <xdr:from>
      <xdr:col>48</xdr:col>
      <xdr:colOff>799920</xdr:colOff>
      <xdr:row>13</xdr:row>
      <xdr:rowOff>105480</xdr:rowOff>
    </xdr:from>
    <xdr:to>
      <xdr:col>49</xdr:col>
      <xdr:colOff>185760</xdr:colOff>
      <xdr:row>15</xdr:row>
      <xdr:rowOff>120240</xdr:rowOff>
    </xdr:to>
    <xdr:sp>
      <xdr:nvSpPr>
        <xdr:cNvPr id="137" name="Flecha: hacia abajo 1"/>
        <xdr:cNvSpPr/>
      </xdr:nvSpPr>
      <xdr:spPr>
        <a:xfrm rot="16200000">
          <a:off x="38890800" y="2669760"/>
          <a:ext cx="515880" cy="1234440"/>
        </a:xfrm>
        <a:prstGeom prst="downArrow">
          <a:avLst>
            <a:gd name="adj1" fmla="val 50000"/>
            <a:gd name="adj2" fmla="val 50000"/>
          </a:avLst>
        </a:prstGeom>
        <a:solidFill>
          <a:srgbClr val="4472c4"/>
        </a:solidFill>
        <a:ln w="12700">
          <a:solidFill>
            <a:srgbClr val="1d3155"/>
          </a:solidFill>
          <a:miter/>
        </a:ln>
      </xdr:spPr>
      <xdr:style>
        <a:lnRef idx="2">
          <a:schemeClr val="accent1">
            <a:shade val="15000"/>
          </a:schemeClr>
        </a:lnRef>
        <a:fillRef idx="1">
          <a:schemeClr val="accent1"/>
        </a:fillRef>
        <a:effectRef idx="0">
          <a:schemeClr val="accent1"/>
        </a:effectRef>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690840</xdr:colOff>
      <xdr:row>67</xdr:row>
      <xdr:rowOff>72360</xdr:rowOff>
    </xdr:from>
    <xdr:to>
      <xdr:col>14</xdr:col>
      <xdr:colOff>277560</xdr:colOff>
      <xdr:row>94</xdr:row>
      <xdr:rowOff>35640</xdr:rowOff>
    </xdr:to>
    <xdr:pic>
      <xdr:nvPicPr>
        <xdr:cNvPr id="138" name="Imagen 1" descr="mip - reps - 5"/>
        <xdr:cNvPicPr/>
      </xdr:nvPicPr>
      <xdr:blipFill>
        <a:blip r:embed="rId1"/>
        <a:stretch/>
      </xdr:blipFill>
      <xdr:spPr>
        <a:xfrm>
          <a:off x="1571040" y="13044600"/>
          <a:ext cx="11028240" cy="5106960"/>
        </a:xfrm>
        <a:prstGeom prst="rect">
          <a:avLst/>
        </a:prstGeom>
        <a:ln w="0">
          <a:noFill/>
        </a:ln>
      </xdr:spPr>
    </xdr:pic>
    <xdr:clientData/>
  </xdr:twoCellAnchor>
  <xdr:twoCellAnchor editAs="oneCell">
    <xdr:from>
      <xdr:col>2</xdr:col>
      <xdr:colOff>23040</xdr:colOff>
      <xdr:row>35</xdr:row>
      <xdr:rowOff>57240</xdr:rowOff>
    </xdr:from>
    <xdr:to>
      <xdr:col>14</xdr:col>
      <xdr:colOff>359280</xdr:colOff>
      <xdr:row>62</xdr:row>
      <xdr:rowOff>138600</xdr:rowOff>
    </xdr:to>
    <xdr:pic>
      <xdr:nvPicPr>
        <xdr:cNvPr id="139" name="Imagen 5" descr="mip - rep- 5 "/>
        <xdr:cNvPicPr/>
      </xdr:nvPicPr>
      <xdr:blipFill>
        <a:blip r:embed="rId2"/>
        <a:stretch/>
      </xdr:blipFill>
      <xdr:spPr>
        <a:xfrm>
          <a:off x="1783440" y="6873840"/>
          <a:ext cx="10897560" cy="5225040"/>
        </a:xfrm>
        <a:prstGeom prst="rect">
          <a:avLst/>
        </a:prstGeom>
        <a:ln w="0">
          <a:noFill/>
        </a:ln>
      </xdr:spPr>
    </xdr:pic>
    <xdr:clientData/>
  </xdr:twoCellAnchor>
  <xdr:twoCellAnchor editAs="oneCell">
    <xdr:from>
      <xdr:col>3</xdr:col>
      <xdr:colOff>790920</xdr:colOff>
      <xdr:row>0</xdr:row>
      <xdr:rowOff>0</xdr:rowOff>
    </xdr:from>
    <xdr:to>
      <xdr:col>16</xdr:col>
      <xdr:colOff>246960</xdr:colOff>
      <xdr:row>26</xdr:row>
      <xdr:rowOff>184680</xdr:rowOff>
    </xdr:to>
    <xdr:pic>
      <xdr:nvPicPr>
        <xdr:cNvPr id="140" name="Imagen 6" descr="mip - reps - 3"/>
        <xdr:cNvPicPr/>
      </xdr:nvPicPr>
      <xdr:blipFill>
        <a:blip r:embed="rId3"/>
        <a:stretch/>
      </xdr:blipFill>
      <xdr:spPr>
        <a:xfrm>
          <a:off x="3431160" y="0"/>
          <a:ext cx="10897560" cy="5227200"/>
        </a:xfrm>
        <a:prstGeom prst="rect">
          <a:avLst/>
        </a:prstGeom>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Users/Luz%20Enith/Downloads/CalculoR_Efecto.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Ejemplo Bf|Ac"/>
      <sheetName val="Ej2BCf|Cc"/>
      <sheetName val="EjABCf|ACc"/>
    </sheetNames>
    <sheetDataSet>
      <sheetData sheetId="0"/>
      <sheetData sheetId="1"/>
      <sheetData sheetId="2">
        <row r="116">
          <cell r="P116">
            <v>0.25</v>
          </cell>
          <cell r="Q116">
            <v>0.25</v>
          </cell>
          <cell r="R116">
            <v>0</v>
          </cell>
          <cell r="S116">
            <v>0</v>
          </cell>
          <cell r="T116">
            <v>0.25</v>
          </cell>
          <cell r="U116">
            <v>0.25</v>
          </cell>
          <cell r="V116">
            <v>0</v>
          </cell>
          <cell r="W116">
            <v>0</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J716"/>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E137" activeCellId="0" sqref="E137"/>
    </sheetView>
  </sheetViews>
  <sheetFormatPr defaultColWidth="11.00390625" defaultRowHeight="15" zeroHeight="false" outlineLevelRow="0" outlineLevelCol="0"/>
  <cols>
    <col collapsed="false" customWidth="true" hidden="false" outlineLevel="0" max="1" min="1" style="1" width="6.67"/>
    <col collapsed="false" customWidth="true" hidden="false" outlineLevel="0" max="2" min="2" style="1" width="7.44"/>
    <col collapsed="false" customWidth="true" hidden="false" outlineLevel="0" max="3" min="3" style="1" width="5.56"/>
    <col collapsed="false" customWidth="true" hidden="false" outlineLevel="0" max="5" min="4" style="1" width="5.33"/>
    <col collapsed="false" customWidth="true" hidden="false" outlineLevel="0" max="6" min="6" style="1" width="5.1"/>
    <col collapsed="false" customWidth="true" hidden="false" outlineLevel="0" max="7" min="7" style="1" width="4.78"/>
    <col collapsed="false" customWidth="true" hidden="false" outlineLevel="0" max="8" min="8" style="1" width="5.33"/>
    <col collapsed="false" customWidth="true" hidden="false" outlineLevel="0" max="9" min="9" style="1" width="4.78"/>
    <col collapsed="false" customWidth="true" hidden="false" outlineLevel="0" max="10" min="10" style="1" width="5.56"/>
    <col collapsed="false" customWidth="true" hidden="false" outlineLevel="0" max="11" min="11" style="1" width="4.78"/>
    <col collapsed="false" customWidth="true" hidden="false" outlineLevel="0" max="12" min="12" style="1" width="5.56"/>
    <col collapsed="false" customWidth="true" hidden="false" outlineLevel="0" max="13" min="13" style="1" width="6.34"/>
    <col collapsed="false" customWidth="true" hidden="false" outlineLevel="0" max="14" min="14" style="1" width="5.66"/>
    <col collapsed="false" customWidth="true" hidden="false" outlineLevel="0" max="15" min="15" style="1" width="4.55"/>
    <col collapsed="false" customWidth="true" hidden="false" outlineLevel="0" max="16" min="16" style="1" width="5.44"/>
    <col collapsed="false" customWidth="true" hidden="false" outlineLevel="0" max="17" min="17" style="1" width="4"/>
    <col collapsed="false" customWidth="true" hidden="false" outlineLevel="0" max="18" min="18" style="1" width="5.1"/>
    <col collapsed="false" customWidth="true" hidden="false" outlineLevel="0" max="19" min="19" style="1" width="4.1"/>
    <col collapsed="false" customWidth="true" hidden="false" outlineLevel="0" max="20" min="20" style="1" width="5.22"/>
    <col collapsed="false" customWidth="true" hidden="false" outlineLevel="0" max="21" min="21" style="1" width="4.78"/>
    <col collapsed="false" customWidth="true" hidden="false" outlineLevel="0" max="22" min="22" style="1" width="5"/>
    <col collapsed="false" customWidth="true" hidden="false" outlineLevel="0" max="23" min="23" style="1" width="4.78"/>
    <col collapsed="false" customWidth="true" hidden="false" outlineLevel="0" max="24" min="24" style="1" width="5.1"/>
    <col collapsed="false" customWidth="true" hidden="false" outlineLevel="0" max="25" min="25" style="1" width="4.44"/>
    <col collapsed="false" customWidth="true" hidden="false" outlineLevel="0" max="26" min="26" style="1" width="4.22"/>
    <col collapsed="false" customWidth="true" hidden="false" outlineLevel="0" max="27" min="27" style="1" width="4"/>
    <col collapsed="false" customWidth="true" hidden="false" outlineLevel="0" max="29" min="28" style="1" width="5.1"/>
    <col collapsed="false" customWidth="true" hidden="false" outlineLevel="0" max="30" min="30" style="1" width="4.67"/>
    <col collapsed="false" customWidth="true" hidden="false" outlineLevel="0" max="31" min="31" style="1" width="4.22"/>
    <col collapsed="false" customWidth="true" hidden="false" outlineLevel="0" max="32" min="32" style="1" width="5.56"/>
    <col collapsed="false" customWidth="true" hidden="false" outlineLevel="0" max="33" min="33" style="1" width="5.22"/>
    <col collapsed="false" customWidth="true" hidden="false" outlineLevel="0" max="34" min="34" style="1" width="4.89"/>
    <col collapsed="false" customWidth="true" hidden="false" outlineLevel="0" max="35" min="35" style="1" width="4.78"/>
    <col collapsed="false" customWidth="true" hidden="false" outlineLevel="0" max="36" min="36" style="1" width="4.89"/>
    <col collapsed="false" customWidth="true" hidden="false" outlineLevel="0" max="37" min="37" style="1" width="4.78"/>
    <col collapsed="false" customWidth="true" hidden="false" outlineLevel="0" max="38" min="38" style="1" width="5.33"/>
    <col collapsed="false" customWidth="true" hidden="false" outlineLevel="0" max="39" min="39" style="1" width="4.89"/>
    <col collapsed="false" customWidth="true" hidden="false" outlineLevel="0" max="40" min="40" style="1" width="4.44"/>
    <col collapsed="false" customWidth="true" hidden="false" outlineLevel="0" max="41" min="41" style="1" width="5"/>
    <col collapsed="false" customWidth="true" hidden="false" outlineLevel="0" max="42" min="42" style="1" width="5.44"/>
    <col collapsed="false" customWidth="true" hidden="false" outlineLevel="0" max="43" min="43" style="1" width="5.1"/>
    <col collapsed="false" customWidth="true" hidden="false" outlineLevel="0" max="50" min="50" style="1" width="8.55"/>
  </cols>
  <sheetData>
    <row r="2" customFormat="false" ht="15" hidden="false" customHeight="false" outlineLevel="0" collapsed="false">
      <c r="B2" s="1" t="s">
        <v>0</v>
      </c>
    </row>
    <row r="6" customFormat="false" ht="15" hidden="false" customHeight="false" outlineLevel="0" collapsed="false">
      <c r="B6" s="1" t="s">
        <v>1</v>
      </c>
    </row>
    <row r="7" customFormat="false" ht="15" hidden="false" customHeight="false" outlineLevel="0" collapsed="false">
      <c r="B7" s="1" t="s">
        <v>2</v>
      </c>
    </row>
    <row r="8" customFormat="false" ht="33" hidden="false" customHeight="true" outlineLevel="0" collapsed="false">
      <c r="B8" s="2" t="s">
        <v>3</v>
      </c>
    </row>
    <row r="9" customFormat="false" ht="15" hidden="false" customHeight="false" outlineLevel="0" collapsed="false">
      <c r="B9" s="2" t="s">
        <v>4</v>
      </c>
    </row>
    <row r="10" customFormat="false" ht="15" hidden="false" customHeight="false" outlineLevel="0" collapsed="false">
      <c r="B10" s="2" t="s">
        <v>5</v>
      </c>
    </row>
    <row r="11" customFormat="false" ht="63" hidden="false" customHeight="true" outlineLevel="0" collapsed="false">
      <c r="B11" s="3" t="s">
        <v>6</v>
      </c>
      <c r="C11" s="4" t="s">
        <v>7</v>
      </c>
      <c r="V11" s="4" t="s">
        <v>8</v>
      </c>
    </row>
    <row r="12" customFormat="false" ht="15" hidden="false" customHeight="false" outlineLevel="0" collapsed="false">
      <c r="B12" s="2"/>
      <c r="C12" s="4" t="s">
        <v>9</v>
      </c>
    </row>
    <row r="13" customFormat="false" ht="15" hidden="false" customHeight="false" outlineLevel="0" collapsed="false">
      <c r="B13" s="2"/>
      <c r="C13" s="4" t="s">
        <v>10</v>
      </c>
    </row>
    <row r="14" customFormat="false" ht="15" hidden="false" customHeight="false" outlineLevel="0" collapsed="false">
      <c r="B14" s="2"/>
      <c r="C14" s="4" t="s">
        <v>11</v>
      </c>
    </row>
    <row r="15" customFormat="false" ht="15" hidden="false" customHeight="false" outlineLevel="0" collapsed="false">
      <c r="B15" s="2"/>
      <c r="C15" s="4" t="s">
        <v>12</v>
      </c>
    </row>
    <row r="16" customFormat="false" ht="15" hidden="false" customHeight="false" outlineLevel="0" collapsed="false">
      <c r="B16" s="2"/>
      <c r="C16" s="4" t="s">
        <v>13</v>
      </c>
      <c r="BB16" s="5" t="s">
        <v>14</v>
      </c>
      <c r="BC16" s="6" t="n">
        <v>0</v>
      </c>
      <c r="BD16" s="6" t="n">
        <v>1</v>
      </c>
      <c r="BE16" s="6" t="n">
        <v>0</v>
      </c>
      <c r="BF16" s="6" t="n">
        <v>1</v>
      </c>
      <c r="BG16" s="6" t="n">
        <v>0</v>
      </c>
      <c r="BH16" s="6" t="n">
        <v>1</v>
      </c>
      <c r="BI16" s="6" t="n">
        <v>0</v>
      </c>
      <c r="BJ16" s="6" t="n">
        <v>1</v>
      </c>
    </row>
    <row r="17" customFormat="false" ht="15" hidden="false" customHeight="false" outlineLevel="0" collapsed="false">
      <c r="BB17" s="5" t="s">
        <v>15</v>
      </c>
      <c r="BC17" s="6" t="n">
        <v>0</v>
      </c>
      <c r="BD17" s="6" t="n">
        <v>0</v>
      </c>
      <c r="BE17" s="6" t="n">
        <v>1</v>
      </c>
      <c r="BF17" s="6" t="n">
        <v>1</v>
      </c>
      <c r="BG17" s="6" t="n">
        <v>0</v>
      </c>
      <c r="BH17" s="6" t="n">
        <v>0</v>
      </c>
      <c r="BI17" s="6" t="n">
        <v>1</v>
      </c>
      <c r="BJ17" s="6" t="n">
        <v>1</v>
      </c>
    </row>
    <row r="18" customFormat="false" ht="15" hidden="false" customHeight="false" outlineLevel="0" collapsed="false">
      <c r="BB18" s="5" t="s">
        <v>16</v>
      </c>
      <c r="BC18" s="6" t="n">
        <v>0</v>
      </c>
      <c r="BD18" s="6" t="n">
        <v>0</v>
      </c>
      <c r="BE18" s="6" t="n">
        <v>0</v>
      </c>
      <c r="BF18" s="6" t="n">
        <v>0</v>
      </c>
      <c r="BG18" s="6" t="n">
        <v>1</v>
      </c>
      <c r="BH18" s="6" t="n">
        <v>1</v>
      </c>
      <c r="BI18" s="6" t="n">
        <v>1</v>
      </c>
      <c r="BJ18" s="6" t="n">
        <v>1</v>
      </c>
    </row>
    <row r="19" customFormat="false" ht="15" hidden="false" customHeight="false" outlineLevel="0" collapsed="false">
      <c r="A19" s="1" t="s">
        <v>17</v>
      </c>
      <c r="AW19" s="7" t="s">
        <v>14</v>
      </c>
      <c r="AX19" s="7" t="s">
        <v>15</v>
      </c>
      <c r="BA19" s="4" t="s">
        <v>16</v>
      </c>
    </row>
    <row r="20" customFormat="false" ht="15" hidden="false" customHeight="false" outlineLevel="0" collapsed="false">
      <c r="AW20" s="1" t="n">
        <v>1</v>
      </c>
      <c r="AX20" s="1" t="n">
        <v>0</v>
      </c>
      <c r="AY20" s="1" t="n">
        <v>1</v>
      </c>
    </row>
    <row r="21" customFormat="false" ht="15" hidden="false" customHeight="true" outlineLevel="0" collapsed="false">
      <c r="H21" s="8" t="s">
        <v>18</v>
      </c>
      <c r="I21" s="5" t="s">
        <v>14</v>
      </c>
      <c r="J21" s="6" t="n">
        <v>0</v>
      </c>
      <c r="K21" s="6" t="n">
        <v>1</v>
      </c>
      <c r="L21" s="6" t="n">
        <v>0</v>
      </c>
      <c r="M21" s="6" t="n">
        <v>1</v>
      </c>
      <c r="N21" s="6" t="n">
        <v>0</v>
      </c>
      <c r="O21" s="6" t="n">
        <v>1</v>
      </c>
      <c r="P21" s="6" t="n">
        <v>0</v>
      </c>
      <c r="Q21" s="6" t="n">
        <v>1</v>
      </c>
    </row>
    <row r="22" customFormat="false" ht="15" hidden="false" customHeight="false" outlineLevel="0" collapsed="false">
      <c r="H22" s="8"/>
      <c r="I22" s="5" t="s">
        <v>15</v>
      </c>
      <c r="J22" s="6" t="n">
        <v>0</v>
      </c>
      <c r="K22" s="6" t="n">
        <v>0</v>
      </c>
      <c r="L22" s="6" t="n">
        <v>1</v>
      </c>
      <c r="M22" s="6" t="n">
        <v>1</v>
      </c>
      <c r="N22" s="6" t="n">
        <v>0</v>
      </c>
      <c r="O22" s="6" t="n">
        <v>0</v>
      </c>
      <c r="P22" s="6" t="n">
        <v>1</v>
      </c>
      <c r="Q22" s="6" t="n">
        <v>1</v>
      </c>
    </row>
    <row r="23" customFormat="false" ht="15" hidden="false" customHeight="false" outlineLevel="0" collapsed="false">
      <c r="F23" s="1" t="s">
        <v>19</v>
      </c>
      <c r="H23" s="8"/>
      <c r="I23" s="5" t="s">
        <v>16</v>
      </c>
      <c r="J23" s="6" t="n">
        <v>0</v>
      </c>
      <c r="K23" s="6" t="n">
        <v>0</v>
      </c>
      <c r="L23" s="6" t="n">
        <v>0</v>
      </c>
      <c r="M23" s="6" t="n">
        <v>0</v>
      </c>
      <c r="N23" s="6" t="n">
        <v>1</v>
      </c>
      <c r="O23" s="6" t="n">
        <v>1</v>
      </c>
      <c r="P23" s="6" t="n">
        <v>1</v>
      </c>
      <c r="Q23" s="6" t="n">
        <v>1</v>
      </c>
    </row>
    <row r="24" customFormat="false" ht="15" hidden="false" customHeight="false" outlineLevel="0" collapsed="false">
      <c r="F24" s="9" t="s">
        <v>14</v>
      </c>
      <c r="G24" s="9" t="s">
        <v>15</v>
      </c>
      <c r="H24" s="9" t="s">
        <v>16</v>
      </c>
    </row>
    <row r="25" customFormat="false" ht="15" hidden="false" customHeight="false" outlineLevel="0" collapsed="false">
      <c r="F25" s="10" t="n">
        <v>0</v>
      </c>
      <c r="G25" s="10" t="n">
        <v>0</v>
      </c>
      <c r="H25" s="10" t="n">
        <v>0</v>
      </c>
      <c r="J25" s="11" t="n">
        <v>1</v>
      </c>
      <c r="K25" s="11" t="n">
        <v>0</v>
      </c>
      <c r="L25" s="11" t="n">
        <v>0</v>
      </c>
      <c r="M25" s="11" t="n">
        <v>0</v>
      </c>
      <c r="N25" s="11" t="n">
        <v>0</v>
      </c>
      <c r="O25" s="11" t="n">
        <v>0</v>
      </c>
      <c r="P25" s="11" t="n">
        <v>0</v>
      </c>
      <c r="Q25" s="11" t="n">
        <v>0</v>
      </c>
    </row>
    <row r="26" customFormat="false" ht="15" hidden="false" customHeight="false" outlineLevel="0" collapsed="false">
      <c r="F26" s="10" t="n">
        <v>1</v>
      </c>
      <c r="G26" s="10" t="n">
        <v>0</v>
      </c>
      <c r="H26" s="10" t="n">
        <v>0</v>
      </c>
      <c r="J26" s="12" t="n">
        <v>0</v>
      </c>
      <c r="K26" s="12" t="n">
        <v>0</v>
      </c>
      <c r="L26" s="12" t="n">
        <v>0</v>
      </c>
      <c r="M26" s="12" t="n">
        <v>0</v>
      </c>
      <c r="N26" s="12" t="n">
        <v>1</v>
      </c>
      <c r="O26" s="12" t="n">
        <v>0</v>
      </c>
      <c r="P26" s="12" t="n">
        <v>0</v>
      </c>
      <c r="Q26" s="12" t="n">
        <v>0</v>
      </c>
      <c r="U26" s="13" t="s">
        <v>20</v>
      </c>
      <c r="V26" s="13"/>
      <c r="W26" s="13"/>
      <c r="X26" s="13"/>
      <c r="Y26" s="13"/>
      <c r="Z26" s="13"/>
    </row>
    <row r="27" customFormat="false" ht="15" hidden="false" customHeight="false" outlineLevel="0" collapsed="false">
      <c r="F27" s="10" t="n">
        <v>0</v>
      </c>
      <c r="G27" s="10" t="n">
        <v>1</v>
      </c>
      <c r="H27" s="10" t="n">
        <v>0</v>
      </c>
      <c r="J27" s="11" t="n">
        <v>0</v>
      </c>
      <c r="K27" s="11" t="n">
        <v>0</v>
      </c>
      <c r="L27" s="11" t="n">
        <v>0</v>
      </c>
      <c r="M27" s="11" t="n">
        <v>0</v>
      </c>
      <c r="N27" s="11" t="n">
        <v>0</v>
      </c>
      <c r="O27" s="11" t="n">
        <v>1</v>
      </c>
      <c r="P27" s="11" t="n">
        <v>0</v>
      </c>
      <c r="Q27" s="11" t="n">
        <v>0</v>
      </c>
    </row>
    <row r="28" customFormat="false" ht="15" hidden="false" customHeight="false" outlineLevel="0" collapsed="false">
      <c r="F28" s="10" t="n">
        <v>1</v>
      </c>
      <c r="G28" s="10" t="n">
        <v>1</v>
      </c>
      <c r="H28" s="10" t="n">
        <v>0</v>
      </c>
      <c r="J28" s="11" t="n">
        <v>0</v>
      </c>
      <c r="K28" s="11" t="n">
        <v>1</v>
      </c>
      <c r="L28" s="11" t="n">
        <v>0</v>
      </c>
      <c r="M28" s="11" t="n">
        <v>0</v>
      </c>
      <c r="N28" s="11" t="n">
        <v>0</v>
      </c>
      <c r="O28" s="11" t="n">
        <v>0</v>
      </c>
      <c r="P28" s="11" t="n">
        <v>0</v>
      </c>
      <c r="Q28" s="11" t="n">
        <v>0</v>
      </c>
    </row>
    <row r="29" customFormat="false" ht="15" hidden="false" customHeight="false" outlineLevel="0" collapsed="false">
      <c r="F29" s="10" t="n">
        <v>0</v>
      </c>
      <c r="G29" s="10" t="n">
        <v>0</v>
      </c>
      <c r="H29" s="10" t="n">
        <v>1</v>
      </c>
      <c r="J29" s="11" t="n">
        <v>0</v>
      </c>
      <c r="K29" s="11" t="n">
        <v>1</v>
      </c>
      <c r="L29" s="11" t="n">
        <v>0</v>
      </c>
      <c r="M29" s="11" t="n">
        <v>0</v>
      </c>
      <c r="N29" s="11" t="n">
        <v>0</v>
      </c>
      <c r="O29" s="11" t="n">
        <v>0</v>
      </c>
      <c r="P29" s="11" t="n">
        <v>0</v>
      </c>
      <c r="Q29" s="11" t="n">
        <v>0</v>
      </c>
    </row>
    <row r="30" customFormat="false" ht="15" hidden="false" customHeight="false" outlineLevel="0" collapsed="false">
      <c r="F30" s="10" t="n">
        <v>1</v>
      </c>
      <c r="G30" s="10" t="n">
        <v>0</v>
      </c>
      <c r="H30" s="10" t="n">
        <v>1</v>
      </c>
      <c r="J30" s="11" t="n">
        <v>0</v>
      </c>
      <c r="K30" s="11" t="n">
        <v>0</v>
      </c>
      <c r="L30" s="11" t="n">
        <v>0</v>
      </c>
      <c r="M30" s="11" t="n">
        <v>0</v>
      </c>
      <c r="N30" s="11" t="n">
        <v>0</v>
      </c>
      <c r="O30" s="11" t="n">
        <v>0</v>
      </c>
      <c r="P30" s="11" t="n">
        <v>0</v>
      </c>
      <c r="Q30" s="11" t="n">
        <v>1</v>
      </c>
    </row>
    <row r="31" customFormat="false" ht="15" hidden="false" customHeight="false" outlineLevel="0" collapsed="false">
      <c r="F31" s="10" t="n">
        <v>0</v>
      </c>
      <c r="G31" s="10" t="n">
        <v>1</v>
      </c>
      <c r="H31" s="10" t="n">
        <v>1</v>
      </c>
      <c r="J31" s="11" t="n">
        <v>0</v>
      </c>
      <c r="K31" s="11" t="n">
        <v>0</v>
      </c>
      <c r="L31" s="11" t="n">
        <v>0</v>
      </c>
      <c r="M31" s="11" t="n">
        <v>0</v>
      </c>
      <c r="N31" s="11" t="n">
        <v>0</v>
      </c>
      <c r="O31" s="11" t="n">
        <v>1</v>
      </c>
      <c r="P31" s="11" t="n">
        <v>0</v>
      </c>
      <c r="Q31" s="11" t="n">
        <v>0</v>
      </c>
    </row>
    <row r="32" customFormat="false" ht="15" hidden="false" customHeight="false" outlineLevel="0" collapsed="false">
      <c r="F32" s="10" t="n">
        <v>1</v>
      </c>
      <c r="G32" s="10" t="n">
        <v>1</v>
      </c>
      <c r="H32" s="10" t="n">
        <v>1</v>
      </c>
      <c r="J32" s="11" t="n">
        <v>0</v>
      </c>
      <c r="K32" s="11" t="n">
        <v>0</v>
      </c>
      <c r="L32" s="11" t="n">
        <v>0</v>
      </c>
      <c r="M32" s="11" t="n">
        <v>1</v>
      </c>
      <c r="N32" s="11" t="n">
        <v>0</v>
      </c>
      <c r="O32" s="11" t="n">
        <v>0</v>
      </c>
      <c r="P32" s="11" t="n">
        <v>0</v>
      </c>
      <c r="Q32" s="11" t="n">
        <v>0</v>
      </c>
    </row>
    <row r="35" customFormat="false" ht="15" hidden="false" customHeight="false" outlineLevel="0" collapsed="false">
      <c r="A35" s="1" t="s">
        <v>21</v>
      </c>
      <c r="F35" s="12" t="n">
        <v>0</v>
      </c>
      <c r="G35" s="12" t="n">
        <v>0</v>
      </c>
      <c r="H35" s="12" t="n">
        <v>0</v>
      </c>
      <c r="I35" s="12" t="n">
        <v>0</v>
      </c>
      <c r="J35" s="12" t="n">
        <v>1</v>
      </c>
      <c r="K35" s="12" t="n">
        <v>0</v>
      </c>
      <c r="L35" s="12" t="n">
        <v>0</v>
      </c>
      <c r="M35" s="12" t="n">
        <v>0</v>
      </c>
    </row>
    <row r="37" s="14" customFormat="true" ht="15" hidden="false" customHeight="false" outlineLevel="0" collapsed="false"/>
    <row r="38" s="14" customFormat="true" ht="15" hidden="false" customHeight="false" outlineLevel="0" collapsed="false"/>
    <row r="39" s="14" customFormat="true" ht="15" hidden="false" customHeight="false" outlineLevel="0" collapsed="false"/>
    <row r="40" s="14" customFormat="true" ht="15" hidden="false" customHeight="false" outlineLevel="0" collapsed="false"/>
    <row r="41" s="14" customFormat="true" ht="15" hidden="false" customHeight="false" outlineLevel="0" collapsed="false"/>
    <row r="42" s="15" customFormat="true" ht="17.35" hidden="false" customHeight="false" outlineLevel="0" collapsed="false"/>
    <row r="43" s="14" customFormat="true" ht="15" hidden="false" customHeight="false" outlineLevel="0" collapsed="false"/>
    <row r="44" s="14" customFormat="true" ht="15" hidden="false" customHeight="false" outlineLevel="0" collapsed="false"/>
    <row r="45" s="14" customFormat="true" ht="15" hidden="false" customHeight="false" outlineLevel="0" collapsed="false"/>
    <row r="46" s="14" customFormat="true" ht="15" hidden="false" customHeight="false" outlineLevel="0" collapsed="false"/>
    <row r="47" s="14" customFormat="true" ht="15" hidden="false" customHeight="false" outlineLevel="0" collapsed="false"/>
    <row r="48" s="14" customFormat="true" ht="15" hidden="false" customHeight="false" outlineLevel="0" collapsed="false"/>
    <row r="49" s="14" customFormat="true" ht="15" hidden="false" customHeight="false" outlineLevel="0" collapsed="false">
      <c r="G49" s="16"/>
    </row>
    <row r="50" s="14" customFormat="true" ht="15" hidden="false" customHeight="false" outlineLevel="0" collapsed="false">
      <c r="G50" s="16"/>
      <c r="W50" s="16"/>
    </row>
    <row r="51" s="14" customFormat="true" ht="15" hidden="false" customHeight="false" outlineLevel="0" collapsed="false">
      <c r="W51" s="16"/>
    </row>
    <row r="52" s="14" customFormat="true" ht="21.75" hidden="false" customHeight="true" outlineLevel="0" collapsed="false">
      <c r="N52" s="16"/>
    </row>
    <row r="53" s="14" customFormat="true" ht="15" hidden="false" customHeight="false" outlineLevel="0" collapsed="false"/>
    <row r="54" s="14" customFormat="true" ht="15" hidden="false" customHeight="false" outlineLevel="0" collapsed="false"/>
    <row r="55" s="14" customFormat="true" ht="15" hidden="false" customHeight="false" outlineLevel="0" collapsed="false"/>
    <row r="56" s="14" customFormat="true" ht="15" hidden="false" customHeight="false" outlineLevel="0" collapsed="false"/>
    <row r="57" s="14" customFormat="true" ht="15" hidden="false" customHeight="false" outlineLevel="0" collapsed="false"/>
    <row r="58" s="14" customFormat="true" ht="15" hidden="false" customHeight="false" outlineLevel="0" collapsed="false"/>
    <row r="59" s="14" customFormat="true" ht="15" hidden="false" customHeight="false" outlineLevel="0" collapsed="false"/>
    <row r="60" s="14" customFormat="true" ht="15" hidden="false" customHeight="false" outlineLevel="0" collapsed="false"/>
    <row r="61" s="14" customFormat="true" ht="15" hidden="false" customHeight="false" outlineLevel="0" collapsed="false"/>
    <row r="62" s="14" customFormat="true" ht="15" hidden="false" customHeight="false" outlineLevel="0" collapsed="false">
      <c r="I62" s="17"/>
      <c r="J62" s="17"/>
      <c r="K62" s="17"/>
    </row>
    <row r="63" s="14" customFormat="true" ht="15" hidden="false" customHeight="false" outlineLevel="0" collapsed="false">
      <c r="AC63" s="18"/>
    </row>
    <row r="64" s="14" customFormat="true" ht="14.25" hidden="false" customHeight="true" outlineLevel="0" collapsed="false">
      <c r="C64" s="16"/>
      <c r="T64" s="18"/>
      <c r="AC64" s="18"/>
    </row>
    <row r="65" s="14" customFormat="true" ht="14.25" hidden="false" customHeight="true" outlineLevel="0" collapsed="false">
      <c r="C65" s="16"/>
      <c r="J65" s="19"/>
      <c r="L65" s="18"/>
      <c r="T65" s="18"/>
      <c r="AC65" s="18"/>
    </row>
    <row r="66" s="14" customFormat="true" ht="14.25" hidden="false" customHeight="true" outlineLevel="0" collapsed="false">
      <c r="J66" s="17"/>
      <c r="K66" s="17"/>
      <c r="L66" s="17"/>
    </row>
    <row r="67" s="14" customFormat="true" ht="15" hidden="false" customHeight="false" outlineLevel="0" collapsed="false">
      <c r="J67" s="17"/>
      <c r="K67" s="17"/>
      <c r="L67" s="17"/>
    </row>
    <row r="68" s="14" customFormat="true" ht="15" hidden="false" customHeight="false" outlineLevel="0" collapsed="false">
      <c r="J68" s="17"/>
      <c r="K68" s="17"/>
      <c r="L68" s="17"/>
    </row>
    <row r="69" s="14" customFormat="true" ht="15" hidden="false" customHeight="false" outlineLevel="0" collapsed="false">
      <c r="J69" s="17"/>
      <c r="K69" s="17"/>
      <c r="L69" s="17"/>
    </row>
    <row r="70" s="14" customFormat="true" ht="15" hidden="false" customHeight="false" outlineLevel="0" collapsed="false">
      <c r="J70" s="17"/>
      <c r="K70" s="17"/>
      <c r="L70" s="17"/>
    </row>
    <row r="71" s="14" customFormat="true" ht="15" hidden="false" customHeight="false" outlineLevel="0" collapsed="false">
      <c r="J71" s="17"/>
      <c r="K71" s="17"/>
      <c r="L71" s="17"/>
    </row>
    <row r="72" s="14" customFormat="true" ht="15" hidden="false" customHeight="false" outlineLevel="0" collapsed="false">
      <c r="J72" s="17"/>
      <c r="K72" s="17"/>
      <c r="L72" s="17"/>
    </row>
    <row r="73" s="14" customFormat="true" ht="15" hidden="false" customHeight="false" outlineLevel="0" collapsed="false">
      <c r="J73" s="17"/>
      <c r="K73" s="17"/>
      <c r="L73" s="17"/>
    </row>
    <row r="74" s="14" customFormat="true" ht="15" hidden="false" customHeight="false" outlineLevel="0" collapsed="false">
      <c r="J74" s="17"/>
      <c r="K74" s="17"/>
      <c r="L74" s="17"/>
    </row>
    <row r="75" s="14" customFormat="true" ht="15" hidden="false" customHeight="false" outlineLevel="0" collapsed="false">
      <c r="J75" s="17"/>
      <c r="K75" s="17"/>
      <c r="L75" s="17"/>
    </row>
    <row r="76" s="14" customFormat="true" ht="15" hidden="false" customHeight="false" outlineLevel="0" collapsed="false"/>
    <row r="77" s="14" customFormat="true" ht="15" hidden="false" customHeight="false" outlineLevel="0" collapsed="false"/>
    <row r="78" s="14" customFormat="true" ht="15" hidden="false" customHeight="false" outlineLevel="0" collapsed="false"/>
    <row r="79" s="14" customFormat="true" ht="15" hidden="false" customHeight="false" outlineLevel="0" collapsed="false">
      <c r="F79" s="18"/>
    </row>
    <row r="80" s="14" customFormat="true" ht="15" hidden="false" customHeight="false" outlineLevel="0" collapsed="false">
      <c r="F80" s="18"/>
    </row>
    <row r="81" s="14" customFormat="true" ht="15" hidden="false" customHeight="false" outlineLevel="0" collapsed="false">
      <c r="E81" s="17"/>
      <c r="F81" s="17"/>
    </row>
    <row r="82" s="14" customFormat="true" ht="15" hidden="false" customHeight="false" outlineLevel="0" collapsed="false"/>
    <row r="83" s="14" customFormat="true" ht="15" hidden="false" customHeight="false" outlineLevel="0" collapsed="false"/>
    <row r="84" s="14" customFormat="true" ht="15" hidden="false" customHeight="false" outlineLevel="0" collapsed="false"/>
    <row r="85" s="14" customFormat="true" ht="15" hidden="false" customHeight="false" outlineLevel="0" collapsed="false"/>
    <row r="86" s="14" customFormat="true" ht="15" hidden="false" customHeight="false" outlineLevel="0" collapsed="false">
      <c r="J86" s="17"/>
      <c r="K86" s="17"/>
      <c r="L86" s="17"/>
    </row>
    <row r="87" s="14" customFormat="true" ht="15" hidden="false" customHeight="false" outlineLevel="0" collapsed="false">
      <c r="J87" s="17"/>
      <c r="K87" s="17"/>
      <c r="L87" s="17"/>
    </row>
    <row r="88" s="14" customFormat="true" ht="15" hidden="false" customHeight="false" outlineLevel="0" collapsed="false">
      <c r="J88" s="17"/>
      <c r="K88" s="17"/>
      <c r="L88" s="17"/>
    </row>
    <row r="89" s="14" customFormat="true" ht="15" hidden="false" customHeight="false" outlineLevel="0" collapsed="false"/>
    <row r="90" s="14" customFormat="true" ht="15" hidden="false" customHeight="false" outlineLevel="0" collapsed="false"/>
    <row r="91" s="14" customFormat="true" ht="15" hidden="false" customHeight="false" outlineLevel="0" collapsed="false"/>
    <row r="92" s="14" customFormat="true" ht="15" hidden="false" customHeight="false" outlineLevel="0" collapsed="false">
      <c r="H92" s="20"/>
      <c r="I92" s="20"/>
      <c r="J92" s="20"/>
      <c r="K92" s="20"/>
      <c r="L92" s="20"/>
      <c r="M92" s="20"/>
      <c r="N92" s="20"/>
      <c r="O92" s="20"/>
    </row>
    <row r="93" s="14" customFormat="true" ht="15" hidden="false" customHeight="false" outlineLevel="0" collapsed="false">
      <c r="H93" s="20"/>
      <c r="I93" s="20"/>
      <c r="J93" s="20"/>
      <c r="K93" s="20"/>
      <c r="L93" s="20"/>
      <c r="M93" s="20"/>
      <c r="N93" s="20"/>
      <c r="O93" s="20"/>
    </row>
    <row r="94" s="14" customFormat="true" ht="15" hidden="false" customHeight="false" outlineLevel="0" collapsed="false"/>
    <row r="95" s="14" customFormat="true" ht="24.45" hidden="false" customHeight="false" outlineLevel="0" collapsed="false">
      <c r="G95" s="21"/>
    </row>
    <row r="96" s="14" customFormat="true" ht="15" hidden="false" customHeight="false" outlineLevel="0" collapsed="false">
      <c r="J96" s="17"/>
      <c r="K96" s="17"/>
      <c r="L96" s="17"/>
    </row>
    <row r="97" s="14" customFormat="true" ht="15" hidden="false" customHeight="false" outlineLevel="0" collapsed="false">
      <c r="J97" s="17"/>
      <c r="K97" s="17"/>
      <c r="L97" s="17"/>
    </row>
    <row r="98" s="14" customFormat="true" ht="15" hidden="false" customHeight="false" outlineLevel="0" collapsed="false">
      <c r="J98" s="17"/>
      <c r="K98" s="17"/>
      <c r="L98" s="17"/>
    </row>
    <row r="99" s="14" customFormat="true" ht="15" hidden="false" customHeight="false" outlineLevel="0" collapsed="false">
      <c r="G99" s="16"/>
    </row>
    <row r="100" s="14" customFormat="true" ht="15" hidden="false" customHeight="false" outlineLevel="0" collapsed="false">
      <c r="G100" s="16"/>
      <c r="X100" s="16"/>
    </row>
    <row r="101" s="14" customFormat="true" ht="15" hidden="false" customHeight="false" outlineLevel="0" collapsed="false">
      <c r="X101" s="16"/>
    </row>
    <row r="102" s="14" customFormat="true" ht="15" hidden="false" customHeight="false" outlineLevel="0" collapsed="false"/>
    <row r="103" s="14" customFormat="true" ht="15" hidden="false" customHeight="false" outlineLevel="0" collapsed="false"/>
    <row r="104" s="14" customFormat="true" ht="15" hidden="false" customHeight="false" outlineLevel="0" collapsed="false">
      <c r="N104" s="17"/>
      <c r="O104" s="17"/>
    </row>
    <row r="105" s="14" customFormat="true" ht="15" hidden="false" customHeight="false" outlineLevel="0" collapsed="false">
      <c r="N105" s="17"/>
      <c r="O105" s="17"/>
    </row>
    <row r="106" s="14" customFormat="true" ht="15" hidden="false" customHeight="false" outlineLevel="0" collapsed="false">
      <c r="N106" s="17"/>
      <c r="O106" s="17"/>
    </row>
    <row r="107" s="14" customFormat="true" ht="15" hidden="false" customHeight="false" outlineLevel="0" collapsed="false">
      <c r="N107" s="17"/>
      <c r="O107" s="17"/>
    </row>
    <row r="108" s="14" customFormat="true" ht="15" hidden="false" customHeight="false" outlineLevel="0" collapsed="false"/>
    <row r="109" s="14" customFormat="true" ht="15" hidden="false" customHeight="false" outlineLevel="0" collapsed="false"/>
    <row r="110" s="14" customFormat="true" ht="15" hidden="false" customHeight="false" outlineLevel="0" collapsed="false">
      <c r="J110" s="17"/>
      <c r="K110" s="17"/>
      <c r="L110" s="17"/>
    </row>
    <row r="111" s="14" customFormat="true" ht="15" hidden="false" customHeight="false" outlineLevel="0" collapsed="false">
      <c r="J111" s="17"/>
      <c r="K111" s="17"/>
      <c r="L111" s="17"/>
    </row>
    <row r="112" s="14" customFormat="true" ht="15" hidden="false" customHeight="false" outlineLevel="0" collapsed="false">
      <c r="J112" s="17"/>
      <c r="K112" s="17"/>
      <c r="L112" s="17"/>
    </row>
    <row r="113" s="14" customFormat="true" ht="15" hidden="false" customHeight="false" outlineLevel="0" collapsed="false">
      <c r="AB113" s="18"/>
    </row>
    <row r="114" s="14" customFormat="true" ht="21" hidden="false" customHeight="true" outlineLevel="0" collapsed="false">
      <c r="C114" s="16"/>
      <c r="S114" s="18"/>
      <c r="AB114" s="18"/>
    </row>
    <row r="115" s="14" customFormat="true" ht="15" hidden="false" customHeight="false" outlineLevel="0" collapsed="false">
      <c r="C115" s="16"/>
      <c r="I115" s="19"/>
      <c r="K115" s="18"/>
      <c r="S115" s="18"/>
      <c r="AB115" s="18"/>
    </row>
    <row r="116" s="14" customFormat="true" ht="15" hidden="false" customHeight="false" outlineLevel="0" collapsed="false">
      <c r="I116" s="17"/>
      <c r="J116" s="17"/>
      <c r="K116" s="17"/>
    </row>
    <row r="117" s="14" customFormat="true" ht="15" hidden="false" customHeight="false" outlineLevel="0" collapsed="false">
      <c r="I117" s="17"/>
      <c r="J117" s="17"/>
      <c r="K117" s="17"/>
    </row>
    <row r="118" s="14" customFormat="true" ht="15" hidden="false" customHeight="false" outlineLevel="0" collapsed="false">
      <c r="I118" s="17"/>
      <c r="J118" s="17"/>
      <c r="K118" s="17"/>
    </row>
    <row r="119" s="14" customFormat="true" ht="15" hidden="false" customHeight="false" outlineLevel="0" collapsed="false">
      <c r="I119" s="17"/>
      <c r="J119" s="17"/>
      <c r="K119" s="17"/>
    </row>
    <row r="120" s="14" customFormat="true" ht="15" hidden="false" customHeight="false" outlineLevel="0" collapsed="false">
      <c r="I120" s="17"/>
      <c r="J120" s="17"/>
      <c r="K120" s="17"/>
    </row>
    <row r="121" s="14" customFormat="true" ht="15" hidden="false" customHeight="false" outlineLevel="0" collapsed="false">
      <c r="I121" s="17"/>
      <c r="J121" s="17"/>
      <c r="K121" s="17"/>
    </row>
    <row r="122" s="14" customFormat="true" ht="15" hidden="false" customHeight="false" outlineLevel="0" collapsed="false">
      <c r="I122" s="17"/>
      <c r="J122" s="17"/>
      <c r="K122" s="17"/>
    </row>
    <row r="123" s="14" customFormat="true" ht="15" hidden="false" customHeight="false" outlineLevel="0" collapsed="false">
      <c r="I123" s="17"/>
      <c r="J123" s="17"/>
      <c r="K123" s="17"/>
    </row>
    <row r="124" s="14" customFormat="true" ht="15" hidden="false" customHeight="false" outlineLevel="0" collapsed="false">
      <c r="I124" s="17"/>
      <c r="J124" s="17"/>
      <c r="K124" s="17"/>
    </row>
    <row r="125" s="14" customFormat="true" ht="15" hidden="false" customHeight="false" outlineLevel="0" collapsed="false">
      <c r="I125" s="17"/>
      <c r="J125" s="17"/>
      <c r="K125" s="17"/>
    </row>
    <row r="126" s="14" customFormat="true" ht="15" hidden="false" customHeight="false" outlineLevel="0" collapsed="false"/>
    <row r="127" s="14" customFormat="true" ht="15" hidden="false" customHeight="false" outlineLevel="0" collapsed="false"/>
    <row r="128" s="14" customFormat="true" ht="15" hidden="false" customHeight="false" outlineLevel="0" collapsed="false"/>
    <row r="129" s="14" customFormat="true" ht="15" hidden="false" customHeight="false" outlineLevel="0" collapsed="false">
      <c r="F129" s="18"/>
    </row>
    <row r="130" s="14" customFormat="true" ht="15" hidden="false" customHeight="false" outlineLevel="0" collapsed="false">
      <c r="F130" s="18"/>
    </row>
    <row r="131" s="14" customFormat="true" ht="15" hidden="false" customHeight="false" outlineLevel="0" collapsed="false">
      <c r="E131" s="17"/>
      <c r="F131" s="17"/>
    </row>
    <row r="132" s="14" customFormat="true" ht="15" hidden="false" customHeight="false" outlineLevel="0" collapsed="false"/>
    <row r="133" s="14" customFormat="true" ht="15" hidden="false" customHeight="false" outlineLevel="0" collapsed="false"/>
    <row r="134" s="14" customFormat="true" ht="15" hidden="false" customHeight="false" outlineLevel="0" collapsed="false"/>
    <row r="135" s="14" customFormat="true" ht="15" hidden="false" customHeight="false" outlineLevel="0" collapsed="false"/>
    <row r="136" s="14" customFormat="true" ht="15" hidden="false" customHeight="false" outlineLevel="0" collapsed="false"/>
    <row r="137" s="14" customFormat="true" ht="15" hidden="false" customHeight="false" outlineLevel="0" collapsed="false"/>
    <row r="138" s="14" customFormat="true" ht="15" hidden="false" customHeight="false" outlineLevel="0" collapsed="false">
      <c r="J138" s="17"/>
      <c r="K138" s="17"/>
      <c r="L138" s="17"/>
    </row>
    <row r="139" s="14" customFormat="true" ht="15" hidden="false" customHeight="false" outlineLevel="0" collapsed="false"/>
    <row r="140" s="14" customFormat="true" ht="15" hidden="false" customHeight="false" outlineLevel="0" collapsed="false"/>
    <row r="141" s="14" customFormat="true" ht="15" hidden="false" customHeight="false" outlineLevel="0" collapsed="false"/>
    <row r="142" s="14" customFormat="true" ht="15" hidden="false" customHeight="false" outlineLevel="0" collapsed="false">
      <c r="G142" s="20"/>
      <c r="H142" s="20"/>
      <c r="I142" s="20"/>
      <c r="J142" s="20"/>
      <c r="K142" s="20"/>
      <c r="L142" s="20"/>
      <c r="M142" s="20"/>
      <c r="N142" s="20"/>
    </row>
    <row r="143" s="14" customFormat="true" ht="15" hidden="false" customHeight="false" outlineLevel="0" collapsed="false">
      <c r="G143" s="20"/>
      <c r="H143" s="20"/>
      <c r="I143" s="20"/>
      <c r="J143" s="20"/>
      <c r="K143" s="20"/>
      <c r="L143" s="20"/>
      <c r="M143" s="20"/>
      <c r="N143" s="20"/>
    </row>
    <row r="144" s="14" customFormat="true" ht="15" hidden="false" customHeight="false" outlineLevel="0" collapsed="false"/>
    <row r="145" s="14" customFormat="true" ht="24.45" hidden="false" customHeight="false" outlineLevel="0" collapsed="false">
      <c r="F145" s="21"/>
    </row>
    <row r="146" s="14" customFormat="true" ht="15" hidden="false" customHeight="false" outlineLevel="0" collapsed="false"/>
    <row r="147" s="14" customFormat="true" ht="17.35" hidden="false" customHeight="false" outlineLevel="0" collapsed="false">
      <c r="A147" s="15"/>
    </row>
    <row r="148" s="14" customFormat="true" ht="17.35" hidden="false" customHeight="false" outlineLevel="0" collapsed="false">
      <c r="A148" s="15"/>
    </row>
    <row r="149" s="14" customFormat="true" ht="16.15" hidden="false" customHeight="false" outlineLevel="0" collapsed="false">
      <c r="A149" s="22"/>
    </row>
    <row r="150" s="14" customFormat="true" ht="14.25" hidden="false" customHeight="true" outlineLevel="0" collapsed="false"/>
    <row r="151" s="14" customFormat="true" ht="15" hidden="false" customHeight="false" outlineLevel="0" collapsed="false"/>
    <row r="152" s="14" customFormat="true" ht="12" hidden="false" customHeight="true" outlineLevel="0" collapsed="false"/>
    <row r="153" s="14" customFormat="true" ht="14.25" hidden="true" customHeight="true" outlineLevel="0" collapsed="false"/>
    <row r="154" s="14" customFormat="true" ht="23.25" hidden="false" customHeight="true" outlineLevel="0" collapsed="false">
      <c r="K154" s="16"/>
      <c r="R154" s="18"/>
    </row>
    <row r="155" s="14" customFormat="true" ht="15" hidden="false" customHeight="false" outlineLevel="0" collapsed="false">
      <c r="I155" s="19"/>
      <c r="K155" s="18"/>
      <c r="R155" s="18"/>
    </row>
    <row r="156" s="14" customFormat="true" ht="19.5" hidden="false" customHeight="true" outlineLevel="0" collapsed="false">
      <c r="I156" s="17"/>
      <c r="J156" s="17"/>
      <c r="K156" s="17"/>
      <c r="Q156" s="17"/>
      <c r="R156" s="17"/>
      <c r="AD156" s="19"/>
      <c r="AF156" s="18"/>
    </row>
    <row r="157" s="14" customFormat="true" ht="15" hidden="false" customHeight="false" outlineLevel="0" collapsed="false">
      <c r="I157" s="17"/>
      <c r="J157" s="17"/>
      <c r="K157" s="17"/>
      <c r="Q157" s="17"/>
      <c r="R157" s="17"/>
      <c r="AD157" s="17"/>
      <c r="AE157" s="17"/>
      <c r="AF157" s="17"/>
    </row>
    <row r="158" s="14" customFormat="true" ht="15" hidden="false" customHeight="false" outlineLevel="0" collapsed="false">
      <c r="I158" s="17"/>
      <c r="J158" s="17"/>
      <c r="K158" s="17"/>
      <c r="Q158" s="17"/>
      <c r="R158" s="17"/>
      <c r="AD158" s="17"/>
      <c r="AE158" s="17"/>
      <c r="AF158" s="17"/>
      <c r="AH158" s="17"/>
      <c r="AI158" s="17"/>
    </row>
    <row r="159" s="14" customFormat="true" ht="15" hidden="false" customHeight="false" outlineLevel="0" collapsed="false">
      <c r="I159" s="17"/>
      <c r="J159" s="17"/>
      <c r="K159" s="17"/>
      <c r="Q159" s="17"/>
      <c r="R159" s="17"/>
      <c r="W159" s="17"/>
      <c r="X159" s="17"/>
      <c r="AD159" s="17"/>
      <c r="AE159" s="17"/>
      <c r="AF159" s="17"/>
      <c r="AH159" s="17"/>
      <c r="AI159" s="17"/>
    </row>
    <row r="160" s="14" customFormat="true" ht="15" hidden="false" customHeight="false" outlineLevel="0" collapsed="false">
      <c r="I160" s="17"/>
      <c r="J160" s="17"/>
      <c r="K160" s="17"/>
      <c r="Q160" s="17"/>
      <c r="R160" s="17"/>
      <c r="W160" s="17"/>
      <c r="X160" s="17"/>
      <c r="AD160" s="17"/>
      <c r="AE160" s="17"/>
      <c r="AF160" s="17"/>
      <c r="AH160" s="17"/>
      <c r="AI160" s="17"/>
    </row>
    <row r="161" s="14" customFormat="true" ht="15" hidden="false" customHeight="false" outlineLevel="0" collapsed="false">
      <c r="I161" s="17"/>
      <c r="J161" s="17"/>
      <c r="K161" s="17"/>
      <c r="Q161" s="17"/>
      <c r="R161" s="17"/>
      <c r="W161" s="17"/>
      <c r="X161" s="17"/>
      <c r="AD161" s="17"/>
      <c r="AE161" s="17"/>
      <c r="AF161" s="17"/>
      <c r="AH161" s="17"/>
      <c r="AI161" s="17"/>
    </row>
    <row r="162" s="14" customFormat="true" ht="15" hidden="false" customHeight="false" outlineLevel="0" collapsed="false">
      <c r="I162" s="17"/>
      <c r="J162" s="17"/>
      <c r="K162" s="17"/>
      <c r="Q162" s="17"/>
      <c r="R162" s="17"/>
      <c r="W162" s="17"/>
      <c r="X162" s="17"/>
      <c r="AD162" s="17"/>
      <c r="AE162" s="17"/>
      <c r="AF162" s="17"/>
      <c r="AH162" s="17"/>
      <c r="AI162" s="17"/>
    </row>
    <row r="163" s="14" customFormat="true" ht="15" hidden="false" customHeight="false" outlineLevel="0" collapsed="false">
      <c r="I163" s="17"/>
      <c r="J163" s="17"/>
      <c r="K163" s="17"/>
      <c r="Q163" s="17"/>
      <c r="R163" s="17"/>
      <c r="AD163" s="17"/>
      <c r="AE163" s="17"/>
      <c r="AF163" s="17"/>
      <c r="AH163" s="17"/>
      <c r="AI163" s="17"/>
    </row>
    <row r="164" s="14" customFormat="true" ht="15" hidden="false" customHeight="false" outlineLevel="0" collapsed="false">
      <c r="I164" s="17"/>
      <c r="J164" s="17"/>
      <c r="K164" s="17"/>
      <c r="Q164" s="17"/>
      <c r="R164" s="17"/>
      <c r="AD164" s="17"/>
      <c r="AE164" s="17"/>
      <c r="AF164" s="17"/>
      <c r="AH164" s="17"/>
      <c r="AI164" s="17"/>
    </row>
    <row r="165" s="14" customFormat="true" ht="12" hidden="false" customHeight="true" outlineLevel="0" collapsed="false">
      <c r="I165" s="17"/>
      <c r="J165" s="17"/>
      <c r="K165" s="17"/>
      <c r="Q165" s="17"/>
      <c r="R165" s="17"/>
      <c r="AD165" s="17"/>
      <c r="AE165" s="17"/>
      <c r="AF165" s="17"/>
      <c r="AH165" s="17"/>
      <c r="AI165" s="17"/>
    </row>
    <row r="166" s="14" customFormat="true" ht="12" hidden="false" customHeight="true" outlineLevel="0" collapsed="false">
      <c r="I166" s="17"/>
      <c r="J166" s="17"/>
      <c r="K166" s="17"/>
      <c r="Q166" s="17"/>
      <c r="R166" s="17"/>
    </row>
    <row r="167" s="14" customFormat="true" ht="12" hidden="false" customHeight="true" outlineLevel="0" collapsed="false">
      <c r="I167" s="17"/>
      <c r="J167" s="17"/>
      <c r="K167" s="17"/>
      <c r="Q167" s="17"/>
      <c r="R167" s="17"/>
    </row>
    <row r="168" s="14" customFormat="true" ht="12" hidden="false" customHeight="true" outlineLevel="0" collapsed="false">
      <c r="I168" s="17"/>
      <c r="J168" s="17"/>
      <c r="K168" s="17"/>
      <c r="Q168" s="17"/>
      <c r="R168" s="17"/>
    </row>
    <row r="169" s="14" customFormat="true" ht="12" hidden="false" customHeight="true" outlineLevel="0" collapsed="false">
      <c r="A169" s="23"/>
      <c r="I169" s="17"/>
      <c r="J169" s="23"/>
      <c r="K169" s="17"/>
      <c r="L169" s="17"/>
    </row>
    <row r="170" s="14" customFormat="true" ht="12" hidden="false" customHeight="true" outlineLevel="0" collapsed="false">
      <c r="C170" s="16"/>
      <c r="I170" s="17"/>
      <c r="L170" s="18"/>
    </row>
    <row r="171" s="14" customFormat="true" ht="12" hidden="false" customHeight="true" outlineLevel="0" collapsed="false">
      <c r="C171" s="16"/>
      <c r="I171" s="17"/>
      <c r="L171" s="18"/>
    </row>
    <row r="172" s="14" customFormat="true" ht="12" hidden="false" customHeight="true" outlineLevel="0" collapsed="false">
      <c r="I172" s="17"/>
    </row>
    <row r="173" s="14" customFormat="true" ht="12" hidden="false" customHeight="true" outlineLevel="0" collapsed="false">
      <c r="I173" s="17"/>
    </row>
    <row r="174" s="14" customFormat="true" ht="12" hidden="false" customHeight="true" outlineLevel="0" collapsed="false">
      <c r="I174" s="17"/>
    </row>
    <row r="175" s="14" customFormat="true" ht="12" hidden="false" customHeight="true" outlineLevel="0" collapsed="false">
      <c r="I175" s="17"/>
    </row>
    <row r="176" s="14" customFormat="true" ht="15" hidden="false" customHeight="false" outlineLevel="0" collapsed="false">
      <c r="I176" s="17"/>
    </row>
    <row r="177" s="14" customFormat="true" ht="15" hidden="false" customHeight="false" outlineLevel="0" collapsed="false">
      <c r="I177" s="17"/>
    </row>
    <row r="178" s="14" customFormat="true" ht="15" hidden="false" customHeight="false" outlineLevel="0" collapsed="false">
      <c r="I178" s="17"/>
    </row>
    <row r="179" s="14" customFormat="true" ht="15" hidden="false" customHeight="false" outlineLevel="0" collapsed="false"/>
    <row r="180" s="14" customFormat="true" ht="15" hidden="false" customHeight="false" outlineLevel="0" collapsed="false"/>
    <row r="181" s="14" customFormat="true" ht="15" hidden="false" customHeight="false" outlineLevel="0" collapsed="false"/>
    <row r="182" s="14" customFormat="true" ht="15" hidden="false" customHeight="false" outlineLevel="0" collapsed="false"/>
    <row r="183" s="14" customFormat="true" ht="15" hidden="false" customHeight="false" outlineLevel="0" collapsed="false"/>
    <row r="184" s="14" customFormat="true" ht="15" hidden="false" customHeight="false" outlineLevel="0" collapsed="false">
      <c r="AB184" s="18"/>
    </row>
    <row r="185" s="14" customFormat="true" ht="14.25" hidden="false" customHeight="true" outlineLevel="0" collapsed="false">
      <c r="C185" s="16"/>
      <c r="AB185" s="18"/>
    </row>
    <row r="186" s="14" customFormat="true" ht="14.25" hidden="false" customHeight="true" outlineLevel="0" collapsed="false">
      <c r="C186" s="16"/>
      <c r="I186" s="19"/>
      <c r="K186" s="18"/>
      <c r="S186" s="18"/>
      <c r="AB186" s="18"/>
    </row>
    <row r="187" s="14" customFormat="true" ht="14.25" hidden="false" customHeight="true" outlineLevel="0" collapsed="false">
      <c r="I187" s="17"/>
      <c r="J187" s="17"/>
      <c r="K187" s="17"/>
    </row>
    <row r="188" s="14" customFormat="true" ht="15" hidden="false" customHeight="false" outlineLevel="0" collapsed="false">
      <c r="I188" s="17"/>
      <c r="J188" s="17"/>
      <c r="K188" s="17"/>
      <c r="M188" s="24"/>
      <c r="N188" s="17"/>
    </row>
    <row r="189" s="14" customFormat="true" ht="15" hidden="false" customHeight="false" outlineLevel="0" collapsed="false">
      <c r="I189" s="17"/>
      <c r="J189" s="17"/>
      <c r="K189" s="17"/>
      <c r="M189" s="24"/>
      <c r="N189" s="17"/>
    </row>
    <row r="190" s="14" customFormat="true" ht="15" hidden="false" customHeight="false" outlineLevel="0" collapsed="false">
      <c r="I190" s="17"/>
      <c r="J190" s="17"/>
      <c r="K190" s="17"/>
      <c r="M190" s="24"/>
      <c r="N190" s="17"/>
    </row>
    <row r="191" s="14" customFormat="true" ht="15" hidden="false" customHeight="false" outlineLevel="0" collapsed="false">
      <c r="I191" s="17"/>
      <c r="J191" s="17"/>
      <c r="K191" s="17"/>
      <c r="M191" s="24"/>
      <c r="N191" s="17"/>
    </row>
    <row r="192" s="14" customFormat="true" ht="15" hidden="false" customHeight="false" outlineLevel="0" collapsed="false">
      <c r="I192" s="17"/>
      <c r="J192" s="17"/>
      <c r="K192" s="17"/>
      <c r="M192" s="24"/>
      <c r="N192" s="17"/>
    </row>
    <row r="193" s="14" customFormat="true" ht="15" hidden="false" customHeight="false" outlineLevel="0" collapsed="false">
      <c r="I193" s="17"/>
      <c r="J193" s="17"/>
      <c r="K193" s="17"/>
      <c r="M193" s="24"/>
      <c r="N193" s="17"/>
    </row>
    <row r="194" s="14" customFormat="true" ht="15" hidden="false" customHeight="false" outlineLevel="0" collapsed="false">
      <c r="I194" s="17"/>
      <c r="J194" s="17"/>
      <c r="K194" s="17"/>
      <c r="M194" s="24"/>
      <c r="N194" s="17"/>
    </row>
    <row r="195" s="14" customFormat="true" ht="15" hidden="false" customHeight="false" outlineLevel="0" collapsed="false">
      <c r="I195" s="17"/>
      <c r="J195" s="17"/>
      <c r="K195" s="17"/>
      <c r="M195" s="24"/>
      <c r="N195" s="17"/>
    </row>
    <row r="196" s="14" customFormat="true" ht="15" hidden="false" customHeight="false" outlineLevel="0" collapsed="false"/>
    <row r="197" s="14" customFormat="true" ht="15" hidden="false" customHeight="false" outlineLevel="0" collapsed="false"/>
    <row r="198" s="14" customFormat="true" ht="16.15" hidden="false" customHeight="false" outlineLevel="0" collapsed="false">
      <c r="A198" s="22"/>
    </row>
    <row r="199" s="14" customFormat="true" ht="15" hidden="false" customHeight="false" outlineLevel="0" collapsed="false"/>
    <row r="200" s="14" customFormat="true" ht="15" hidden="false" customHeight="false" outlineLevel="0" collapsed="false"/>
    <row r="201" s="14" customFormat="true" ht="15" hidden="false" customHeight="false" outlineLevel="0" collapsed="false"/>
    <row r="202" s="14" customFormat="true" ht="15" hidden="false" customHeight="false" outlineLevel="0" collapsed="false"/>
    <row r="203" s="14" customFormat="true" ht="15" hidden="false" customHeight="false" outlineLevel="0" collapsed="false"/>
    <row r="204" s="14" customFormat="true" ht="15" hidden="false" customHeight="false" outlineLevel="0" collapsed="false"/>
    <row r="205" s="14" customFormat="true" ht="15" hidden="false" customHeight="false" outlineLevel="0" collapsed="false"/>
    <row r="206" s="14" customFormat="true" ht="31.5" hidden="false" customHeight="true" outlineLevel="0" collapsed="false">
      <c r="A206" s="19"/>
      <c r="C206" s="18"/>
      <c r="R206" s="19"/>
      <c r="T206" s="18"/>
    </row>
    <row r="207" s="14" customFormat="true" ht="15" hidden="false" customHeight="false" outlineLevel="0" collapsed="false">
      <c r="A207" s="17"/>
      <c r="B207" s="17"/>
      <c r="C207" s="17"/>
      <c r="R207" s="17"/>
      <c r="S207" s="17"/>
      <c r="T207" s="17"/>
    </row>
    <row r="208" s="14" customFormat="true" ht="15" hidden="false" customHeight="false" outlineLevel="0" collapsed="false">
      <c r="A208" s="17"/>
      <c r="B208" s="17"/>
      <c r="C208" s="17"/>
      <c r="R208" s="17"/>
      <c r="S208" s="17"/>
      <c r="T208" s="17"/>
      <c r="V208" s="17"/>
      <c r="W208" s="17"/>
    </row>
    <row r="209" s="14" customFormat="true" ht="15" hidden="false" customHeight="false" outlineLevel="0" collapsed="false">
      <c r="A209" s="17"/>
      <c r="B209" s="17"/>
      <c r="C209" s="17"/>
      <c r="R209" s="17"/>
      <c r="S209" s="17"/>
      <c r="T209" s="17"/>
      <c r="V209" s="17"/>
      <c r="W209" s="17"/>
    </row>
    <row r="210" s="14" customFormat="true" ht="15" hidden="false" customHeight="false" outlineLevel="0" collapsed="false">
      <c r="A210" s="17"/>
      <c r="B210" s="17"/>
      <c r="C210" s="17"/>
      <c r="J210" s="17"/>
      <c r="K210" s="17"/>
      <c r="R210" s="17"/>
      <c r="S210" s="17"/>
      <c r="T210" s="17"/>
      <c r="V210" s="17"/>
      <c r="W210" s="17"/>
    </row>
    <row r="211" s="14" customFormat="true" ht="15" hidden="false" customHeight="false" outlineLevel="0" collapsed="false">
      <c r="A211" s="17"/>
      <c r="B211" s="17"/>
      <c r="C211" s="17"/>
      <c r="J211" s="17"/>
      <c r="K211" s="17"/>
      <c r="R211" s="17"/>
      <c r="S211" s="17"/>
      <c r="T211" s="17"/>
      <c r="V211" s="17"/>
      <c r="W211" s="17"/>
    </row>
    <row r="212" s="14" customFormat="true" ht="15" hidden="false" customHeight="false" outlineLevel="0" collapsed="false">
      <c r="A212" s="17"/>
      <c r="B212" s="17"/>
      <c r="C212" s="17"/>
      <c r="J212" s="17"/>
      <c r="K212" s="17"/>
      <c r="R212" s="17"/>
      <c r="S212" s="17"/>
      <c r="T212" s="17"/>
      <c r="V212" s="17"/>
      <c r="W212" s="17"/>
    </row>
    <row r="213" s="14" customFormat="true" ht="15" hidden="false" customHeight="false" outlineLevel="0" collapsed="false">
      <c r="A213" s="17"/>
      <c r="B213" s="17"/>
      <c r="C213" s="17"/>
      <c r="J213" s="17"/>
      <c r="K213" s="17"/>
      <c r="R213" s="17"/>
      <c r="S213" s="17"/>
      <c r="T213" s="17"/>
      <c r="V213" s="17"/>
      <c r="W213" s="17"/>
    </row>
    <row r="214" s="14" customFormat="true" ht="15" hidden="false" customHeight="false" outlineLevel="0" collapsed="false">
      <c r="A214" s="17"/>
      <c r="B214" s="17"/>
      <c r="C214" s="17"/>
      <c r="R214" s="17"/>
      <c r="S214" s="17"/>
      <c r="T214" s="17"/>
      <c r="V214" s="17"/>
      <c r="W214" s="17"/>
    </row>
    <row r="215" s="14" customFormat="true" ht="15" hidden="false" customHeight="false" outlineLevel="0" collapsed="false">
      <c r="A215" s="17"/>
      <c r="B215" s="17"/>
      <c r="C215" s="17"/>
      <c r="R215" s="17"/>
      <c r="S215" s="17"/>
      <c r="T215" s="17"/>
      <c r="V215" s="17"/>
      <c r="W215" s="17"/>
    </row>
    <row r="216" s="14" customFormat="true" ht="15" hidden="false" customHeight="false" outlineLevel="0" collapsed="false">
      <c r="I216" s="17"/>
      <c r="J216" s="17"/>
      <c r="K216" s="17"/>
      <c r="M216" s="17"/>
      <c r="N216" s="17"/>
    </row>
    <row r="217" s="14" customFormat="true" ht="15" hidden="false" customHeight="false" outlineLevel="0" collapsed="false">
      <c r="I217" s="17"/>
      <c r="J217" s="17"/>
      <c r="K217" s="17"/>
      <c r="M217" s="17"/>
      <c r="N217" s="17"/>
    </row>
    <row r="218" s="14" customFormat="true" ht="15" hidden="false" customHeight="false" outlineLevel="0" collapsed="false"/>
    <row r="219" s="14" customFormat="true" ht="15" hidden="false" customHeight="false" outlineLevel="0" collapsed="false"/>
    <row r="220" s="14" customFormat="true" ht="15" hidden="false" customHeight="false" outlineLevel="0" collapsed="false">
      <c r="D220" s="18"/>
    </row>
    <row r="221" s="14" customFormat="true" ht="15" hidden="false" customHeight="false" outlineLevel="0" collapsed="false">
      <c r="D221" s="18"/>
      <c r="Y221" s="25"/>
      <c r="Z221" s="25"/>
      <c r="AA221" s="25"/>
      <c r="AB221" s="25"/>
      <c r="AC221" s="25"/>
      <c r="AD221" s="25"/>
      <c r="AE221" s="25"/>
      <c r="AF221" s="25"/>
      <c r="AG221" s="25"/>
      <c r="AH221" s="25"/>
      <c r="AI221" s="25"/>
      <c r="AJ221" s="25"/>
      <c r="AK221" s="25"/>
      <c r="AL221" s="25"/>
      <c r="AM221" s="25"/>
      <c r="AN221" s="25"/>
    </row>
    <row r="222" s="14" customFormat="true" ht="15" hidden="false" customHeight="false" outlineLevel="0" collapsed="false">
      <c r="Y222" s="25"/>
      <c r="Z222" s="25"/>
      <c r="AA222" s="25"/>
      <c r="AB222" s="25"/>
      <c r="AC222" s="25"/>
      <c r="AD222" s="25"/>
      <c r="AE222" s="25"/>
      <c r="AF222" s="25"/>
      <c r="AG222" s="25"/>
      <c r="AH222" s="25"/>
      <c r="AI222" s="25"/>
      <c r="AJ222" s="25"/>
      <c r="AK222" s="25"/>
      <c r="AL222" s="25"/>
      <c r="AM222" s="25"/>
      <c r="AN222" s="25"/>
    </row>
    <row r="223" s="14" customFormat="true" ht="15" hidden="false" customHeight="false" outlineLevel="0" collapsed="false">
      <c r="Y223" s="25"/>
      <c r="Z223" s="25"/>
      <c r="AA223" s="25"/>
      <c r="AB223" s="25"/>
      <c r="AC223" s="25"/>
      <c r="AD223" s="25"/>
      <c r="AE223" s="25"/>
      <c r="AF223" s="25"/>
      <c r="AG223" s="25"/>
      <c r="AH223" s="25"/>
      <c r="AI223" s="25"/>
      <c r="AJ223" s="25"/>
      <c r="AK223" s="25"/>
      <c r="AL223" s="25"/>
      <c r="AM223" s="25"/>
      <c r="AN223" s="25"/>
    </row>
    <row r="224" s="14" customFormat="true" ht="15" hidden="false" customHeight="false" outlineLevel="0" collapsed="false"/>
    <row r="225" s="14" customFormat="true" ht="15" hidden="false" customHeight="false" outlineLevel="0" collapsed="false"/>
    <row r="226" s="14" customFormat="true" ht="15" hidden="false" customHeight="false" outlineLevel="0" collapsed="false"/>
    <row r="227" s="14" customFormat="true" ht="15" hidden="false" customHeight="false" outlineLevel="0" collapsed="false"/>
    <row r="228" s="14" customFormat="true" ht="15" hidden="false" customHeight="false" outlineLevel="0" collapsed="false"/>
    <row r="229" s="14" customFormat="true" ht="15" hidden="false" customHeight="false" outlineLevel="0" collapsed="false"/>
    <row r="230" s="14" customFormat="true" ht="15" hidden="false" customHeight="false" outlineLevel="0" collapsed="false"/>
    <row r="231" s="14" customFormat="true" ht="15" hidden="false" customHeight="false" outlineLevel="0" collapsed="false">
      <c r="F231" s="20"/>
      <c r="G231" s="20"/>
      <c r="H231" s="20"/>
      <c r="I231" s="20"/>
    </row>
    <row r="232" s="14" customFormat="true" ht="15" hidden="false" customHeight="false" outlineLevel="0" collapsed="false"/>
    <row r="233" s="14" customFormat="true" ht="15" hidden="false" customHeight="false" outlineLevel="0" collapsed="false"/>
    <row r="234" s="14" customFormat="true" ht="15" hidden="false" customHeight="false" outlineLevel="0" collapsed="false"/>
    <row r="235" s="14" customFormat="true" ht="15" hidden="false" customHeight="false" outlineLevel="0" collapsed="false">
      <c r="C235" s="18"/>
      <c r="T235" s="18"/>
    </row>
    <row r="236" s="14" customFormat="true" ht="15" hidden="false" customHeight="false" outlineLevel="0" collapsed="false">
      <c r="C236" s="18"/>
      <c r="T236" s="18"/>
    </row>
    <row r="237" s="14" customFormat="true" ht="15" hidden="false" customHeight="false" outlineLevel="0" collapsed="false">
      <c r="T237" s="18"/>
    </row>
    <row r="238" s="14" customFormat="true" ht="15" hidden="false" customHeight="false" outlineLevel="0" collapsed="false">
      <c r="E238" s="20"/>
      <c r="F238" s="20"/>
      <c r="G238" s="20"/>
      <c r="H238" s="20"/>
      <c r="K238" s="17"/>
      <c r="L238" s="17"/>
      <c r="S238" s="17"/>
      <c r="T238" s="17"/>
    </row>
    <row r="239" s="14" customFormat="true" ht="15" hidden="false" customHeight="false" outlineLevel="0" collapsed="false">
      <c r="E239" s="20"/>
      <c r="F239" s="20"/>
      <c r="G239" s="20"/>
      <c r="H239" s="20"/>
      <c r="K239" s="17"/>
      <c r="L239" s="17"/>
    </row>
    <row r="240" s="14" customFormat="true" ht="15" hidden="false" customHeight="false" outlineLevel="0" collapsed="false">
      <c r="E240" s="20"/>
      <c r="F240" s="20"/>
      <c r="G240" s="20"/>
      <c r="H240" s="20"/>
      <c r="K240" s="17"/>
      <c r="L240" s="17"/>
    </row>
    <row r="241" s="14" customFormat="true" ht="15" hidden="false" customHeight="false" outlineLevel="0" collapsed="false">
      <c r="K241" s="17"/>
      <c r="L241" s="17"/>
    </row>
    <row r="242" s="14" customFormat="true" ht="15" hidden="false" customHeight="false" outlineLevel="0" collapsed="false"/>
    <row r="243" s="14" customFormat="true" ht="15" hidden="false" customHeight="false" outlineLevel="0" collapsed="false"/>
    <row r="244" s="14" customFormat="true" ht="15" hidden="false" customHeight="false" outlineLevel="0" collapsed="false"/>
    <row r="245" s="14" customFormat="true" ht="15" hidden="false" customHeight="false" outlineLevel="0" collapsed="false">
      <c r="C245" s="17"/>
    </row>
    <row r="246" s="14" customFormat="true" ht="17.35" hidden="false" customHeight="false" outlineLevel="0" collapsed="false">
      <c r="A246" s="15"/>
    </row>
    <row r="247" s="14" customFormat="true" ht="15" hidden="false" customHeight="false" outlineLevel="0" collapsed="false"/>
    <row r="248" s="14" customFormat="true" ht="15" hidden="false" customHeight="false" outlineLevel="0" collapsed="false"/>
    <row r="249" s="14" customFormat="true" ht="15" hidden="false" customHeight="false" outlineLevel="0" collapsed="false"/>
    <row r="250" s="14" customFormat="true" ht="15" hidden="false" customHeight="false" outlineLevel="0" collapsed="false"/>
    <row r="251" s="14" customFormat="true" ht="15" hidden="false" customHeight="false" outlineLevel="0" collapsed="false">
      <c r="F251" s="18"/>
    </row>
    <row r="252" s="14" customFormat="true" ht="15" hidden="false" customHeight="false" outlineLevel="0" collapsed="false">
      <c r="F252" s="18"/>
    </row>
    <row r="253" s="14" customFormat="true" ht="14.25" hidden="false" customHeight="true" outlineLevel="0" collapsed="false">
      <c r="E253" s="17"/>
      <c r="F253" s="17"/>
    </row>
    <row r="254" s="14" customFormat="true" ht="15" hidden="false" customHeight="false" outlineLevel="0" collapsed="false"/>
    <row r="255" s="14" customFormat="true" ht="15" hidden="false" customHeight="false" outlineLevel="0" collapsed="false"/>
    <row r="256" s="14" customFormat="true" ht="15" hidden="false" customHeight="false" outlineLevel="0" collapsed="false"/>
    <row r="257" s="14" customFormat="true" ht="15" hidden="false" customHeight="false" outlineLevel="0" collapsed="false"/>
    <row r="258" s="14" customFormat="true" ht="15" hidden="false" customHeight="false" outlineLevel="0" collapsed="false"/>
    <row r="259" s="14" customFormat="true" ht="15" hidden="false" customHeight="false" outlineLevel="0" collapsed="false"/>
    <row r="260" s="14" customFormat="true" ht="15" hidden="false" customHeight="false" outlineLevel="0" collapsed="false"/>
    <row r="261" s="14" customFormat="true" ht="15" hidden="false" customHeight="false" outlineLevel="0" collapsed="false"/>
    <row r="262" s="14" customFormat="true" ht="17.35" hidden="false" customHeight="false" outlineLevel="0" collapsed="false">
      <c r="A262" s="15"/>
    </row>
    <row r="263" s="14" customFormat="true" ht="15" hidden="false" customHeight="false" outlineLevel="0" collapsed="false"/>
    <row r="264" s="14" customFormat="true" ht="15" hidden="false" customHeight="false" outlineLevel="0" collapsed="false"/>
    <row r="265" s="14" customFormat="true" ht="15" hidden="false" customHeight="false" outlineLevel="0" collapsed="false"/>
    <row r="266" s="14" customFormat="true" ht="15" hidden="false" customHeight="false" outlineLevel="0" collapsed="false"/>
    <row r="267" s="14" customFormat="true" ht="15" hidden="false" customHeight="false" outlineLevel="0" collapsed="false"/>
    <row r="268" s="14" customFormat="true" ht="15" hidden="false" customHeight="false" outlineLevel="0" collapsed="false"/>
    <row r="269" s="14" customFormat="true" ht="15" hidden="false" customHeight="false" outlineLevel="0" collapsed="false"/>
    <row r="270" s="14" customFormat="true" ht="15" hidden="false" customHeight="false" outlineLevel="0" collapsed="false"/>
    <row r="271" s="14" customFormat="true" ht="15" hidden="false" customHeight="false" outlineLevel="0" collapsed="false"/>
    <row r="272" s="14" customFormat="true" ht="15" hidden="false" customHeight="false" outlineLevel="0" collapsed="false"/>
    <row r="273" s="14" customFormat="true" ht="15" hidden="false" customHeight="false" outlineLevel="0" collapsed="false"/>
    <row r="274" s="14" customFormat="true" ht="15" hidden="false" customHeight="false" outlineLevel="0" collapsed="false"/>
    <row r="275" s="14" customFormat="true" ht="15" hidden="false" customHeight="false" outlineLevel="0" collapsed="false"/>
    <row r="276" s="14" customFormat="true" ht="15" hidden="false" customHeight="false" outlineLevel="0" collapsed="false"/>
    <row r="277" s="14" customFormat="true" ht="15" hidden="false" customHeight="false" outlineLevel="0" collapsed="false"/>
    <row r="278" s="14" customFormat="true" ht="15" hidden="false" customHeight="false" outlineLevel="0" collapsed="false"/>
    <row r="279" s="14" customFormat="true" ht="15" hidden="false" customHeight="false" outlineLevel="0" collapsed="false"/>
    <row r="280" s="14" customFormat="true" ht="15" hidden="false" customHeight="false" outlineLevel="0" collapsed="false"/>
    <row r="281" s="14" customFormat="true" ht="15" hidden="false" customHeight="false" outlineLevel="0" collapsed="false">
      <c r="A281" s="19"/>
      <c r="C281" s="18"/>
    </row>
    <row r="282" s="14" customFormat="true" ht="15" hidden="false" customHeight="false" outlineLevel="0" collapsed="false">
      <c r="A282" s="17"/>
      <c r="B282" s="17"/>
      <c r="C282" s="17"/>
    </row>
    <row r="283" s="14" customFormat="true" ht="15" hidden="false" customHeight="false" outlineLevel="0" collapsed="false">
      <c r="A283" s="17"/>
      <c r="B283" s="17"/>
      <c r="C283" s="17"/>
      <c r="E283" s="17"/>
      <c r="F283" s="17"/>
    </row>
    <row r="284" s="14" customFormat="true" ht="15" hidden="false" customHeight="false" outlineLevel="0" collapsed="false">
      <c r="A284" s="17"/>
      <c r="B284" s="17"/>
      <c r="C284" s="17"/>
      <c r="E284" s="17"/>
      <c r="F284" s="17"/>
    </row>
    <row r="285" s="14" customFormat="true" ht="15" hidden="false" customHeight="false" outlineLevel="0" collapsed="false">
      <c r="A285" s="17"/>
      <c r="B285" s="17"/>
      <c r="C285" s="17"/>
      <c r="E285" s="17"/>
      <c r="F285" s="17"/>
    </row>
    <row r="286" s="14" customFormat="true" ht="15" hidden="false" customHeight="false" outlineLevel="0" collapsed="false">
      <c r="A286" s="17"/>
      <c r="B286" s="17"/>
      <c r="C286" s="17"/>
      <c r="E286" s="17"/>
      <c r="F286" s="17"/>
    </row>
    <row r="287" s="14" customFormat="true" ht="15" hidden="false" customHeight="false" outlineLevel="0" collapsed="false">
      <c r="A287" s="17"/>
      <c r="B287" s="17"/>
      <c r="C287" s="17"/>
      <c r="E287" s="17"/>
      <c r="F287" s="17"/>
    </row>
    <row r="288" s="14" customFormat="true" ht="15" hidden="false" customHeight="false" outlineLevel="0" collapsed="false">
      <c r="A288" s="17"/>
      <c r="B288" s="17"/>
      <c r="C288" s="17"/>
      <c r="E288" s="17"/>
      <c r="F288" s="17"/>
    </row>
    <row r="289" s="14" customFormat="true" ht="15" hidden="false" customHeight="false" outlineLevel="0" collapsed="false">
      <c r="A289" s="17"/>
      <c r="B289" s="17"/>
      <c r="C289" s="17"/>
      <c r="E289" s="17"/>
      <c r="F289" s="17"/>
    </row>
    <row r="290" s="14" customFormat="true" ht="15" hidden="false" customHeight="false" outlineLevel="0" collapsed="false">
      <c r="A290" s="17"/>
      <c r="B290" s="17"/>
      <c r="C290" s="17"/>
      <c r="E290" s="17"/>
      <c r="F290" s="17"/>
    </row>
    <row r="291" s="14" customFormat="true" ht="15" hidden="false" customHeight="false" outlineLevel="0" collapsed="false"/>
    <row r="292" s="14" customFormat="true" ht="15" hidden="false" customHeight="false" outlineLevel="0" collapsed="false"/>
    <row r="293" s="14" customFormat="true" ht="15" hidden="false" customHeight="false" outlineLevel="0" collapsed="false"/>
    <row r="294" s="14" customFormat="true" ht="15" hidden="false" customHeight="false" outlineLevel="0" collapsed="false"/>
    <row r="295" s="14" customFormat="true" ht="15" hidden="false" customHeight="false" outlineLevel="0" collapsed="false"/>
    <row r="296" s="14" customFormat="true" ht="15" hidden="false" customHeight="false" outlineLevel="0" collapsed="false"/>
    <row r="297" s="14" customFormat="true" ht="15" hidden="false" customHeight="false" outlineLevel="0" collapsed="false"/>
    <row r="298" s="14" customFormat="true" ht="15" hidden="false" customHeight="false" outlineLevel="0" collapsed="false">
      <c r="A298" s="19"/>
      <c r="S298" s="18"/>
    </row>
    <row r="299" s="14" customFormat="true" ht="15" hidden="false" customHeight="false" outlineLevel="0" collapsed="false">
      <c r="A299" s="17"/>
      <c r="B299" s="17"/>
      <c r="Q299" s="17"/>
      <c r="R299" s="17"/>
      <c r="S299" s="17"/>
    </row>
    <row r="300" s="14" customFormat="true" ht="15" hidden="false" customHeight="false" outlineLevel="0" collapsed="false">
      <c r="A300" s="17"/>
      <c r="B300" s="17"/>
      <c r="D300" s="17"/>
      <c r="E300" s="17"/>
      <c r="Q300" s="17"/>
      <c r="R300" s="17"/>
      <c r="S300" s="17"/>
      <c r="U300" s="24"/>
      <c r="V300" s="24"/>
    </row>
    <row r="301" s="14" customFormat="true" ht="15" hidden="false" customHeight="false" outlineLevel="0" collapsed="false">
      <c r="A301" s="17"/>
      <c r="B301" s="17"/>
      <c r="D301" s="17"/>
      <c r="E301" s="17"/>
      <c r="Q301" s="17"/>
      <c r="R301" s="17"/>
      <c r="S301" s="17"/>
      <c r="U301" s="24"/>
      <c r="V301" s="24"/>
    </row>
    <row r="302" s="14" customFormat="true" ht="15" hidden="false" customHeight="false" outlineLevel="0" collapsed="false">
      <c r="A302" s="17"/>
      <c r="B302" s="17"/>
      <c r="D302" s="17"/>
      <c r="E302" s="17"/>
      <c r="Q302" s="17"/>
      <c r="R302" s="17"/>
      <c r="S302" s="17"/>
      <c r="U302" s="24"/>
      <c r="V302" s="24"/>
    </row>
    <row r="303" s="14" customFormat="true" ht="15" hidden="false" customHeight="false" outlineLevel="0" collapsed="false">
      <c r="A303" s="17"/>
      <c r="B303" s="17"/>
      <c r="D303" s="17"/>
      <c r="E303" s="17"/>
      <c r="I303" s="17"/>
      <c r="J303" s="17"/>
      <c r="L303" s="20"/>
      <c r="M303" s="20"/>
      <c r="Q303" s="17"/>
      <c r="R303" s="17"/>
      <c r="S303" s="17"/>
      <c r="U303" s="24"/>
      <c r="V303" s="24"/>
    </row>
    <row r="304" s="14" customFormat="true" ht="15" hidden="false" customHeight="false" outlineLevel="0" collapsed="false">
      <c r="A304" s="17"/>
      <c r="B304" s="17"/>
      <c r="D304" s="17"/>
      <c r="E304" s="17"/>
      <c r="I304" s="17"/>
      <c r="J304" s="17"/>
      <c r="L304" s="20"/>
      <c r="M304" s="20"/>
      <c r="Q304" s="17"/>
      <c r="R304" s="17"/>
      <c r="S304" s="17"/>
      <c r="U304" s="24"/>
      <c r="V304" s="24"/>
    </row>
    <row r="305" s="14" customFormat="true" ht="15" hidden="false" customHeight="false" outlineLevel="0" collapsed="false">
      <c r="A305" s="17"/>
      <c r="B305" s="17"/>
      <c r="D305" s="17"/>
      <c r="E305" s="17"/>
      <c r="I305" s="17"/>
      <c r="J305" s="17"/>
      <c r="L305" s="20"/>
      <c r="M305" s="20"/>
      <c r="Q305" s="17"/>
      <c r="R305" s="17"/>
      <c r="S305" s="17"/>
      <c r="U305" s="24"/>
      <c r="V305" s="24"/>
    </row>
    <row r="306" s="14" customFormat="true" ht="15" hidden="false" customHeight="false" outlineLevel="0" collapsed="false">
      <c r="A306" s="17"/>
      <c r="B306" s="17"/>
      <c r="D306" s="17"/>
      <c r="E306" s="17"/>
      <c r="I306" s="17"/>
      <c r="J306" s="17"/>
      <c r="L306" s="20"/>
      <c r="M306" s="20"/>
      <c r="Q306" s="17"/>
      <c r="R306" s="17"/>
      <c r="S306" s="17"/>
      <c r="U306" s="24"/>
      <c r="V306" s="24"/>
    </row>
    <row r="307" s="14" customFormat="true" ht="15" hidden="false" customHeight="false" outlineLevel="0" collapsed="false">
      <c r="A307" s="17"/>
      <c r="B307" s="17"/>
      <c r="D307" s="17"/>
      <c r="E307" s="17"/>
      <c r="Q307" s="17"/>
      <c r="R307" s="17"/>
      <c r="S307" s="17"/>
      <c r="U307" s="24"/>
      <c r="V307" s="24"/>
    </row>
    <row r="308" s="14" customFormat="true" ht="15" hidden="false" customHeight="false" outlineLevel="0" collapsed="false"/>
    <row r="309" s="14" customFormat="true" ht="15" hidden="false" customHeight="false" outlineLevel="0" collapsed="false"/>
    <row r="310" s="14" customFormat="true" ht="24" hidden="false" customHeight="true" outlineLevel="0" collapsed="false"/>
    <row r="311" s="14" customFormat="true" ht="14.25" hidden="false" customHeight="true" outlineLevel="0" collapsed="false">
      <c r="C311" s="16"/>
      <c r="AB311" s="18"/>
    </row>
    <row r="312" s="14" customFormat="true" ht="16.5" hidden="false" customHeight="true" outlineLevel="0" collapsed="false">
      <c r="C312" s="16"/>
      <c r="K312" s="18"/>
      <c r="S312" s="18"/>
      <c r="AB312" s="18"/>
    </row>
    <row r="313" s="14" customFormat="true" ht="14.25" hidden="false" customHeight="true" outlineLevel="0" collapsed="false">
      <c r="I313" s="17"/>
      <c r="J313" s="17"/>
      <c r="K313" s="17"/>
    </row>
    <row r="314" s="14" customFormat="true" ht="15" hidden="false" customHeight="false" outlineLevel="0" collapsed="false">
      <c r="I314" s="17"/>
      <c r="J314" s="17"/>
      <c r="K314" s="17"/>
      <c r="M314" s="24"/>
      <c r="N314" s="24"/>
      <c r="AD314" s="20"/>
    </row>
    <row r="315" s="14" customFormat="true" ht="15" hidden="false" customHeight="false" outlineLevel="0" collapsed="false">
      <c r="I315" s="17"/>
      <c r="J315" s="17"/>
      <c r="K315" s="17"/>
      <c r="M315" s="24"/>
      <c r="N315" s="17"/>
      <c r="AD315" s="20"/>
      <c r="AE315" s="20"/>
      <c r="AF315" s="20"/>
      <c r="AG315" s="20"/>
      <c r="AH315" s="20"/>
      <c r="AI315" s="20"/>
      <c r="AJ315" s="20"/>
      <c r="AK315" s="20"/>
    </row>
    <row r="316" s="14" customFormat="true" ht="15" hidden="false" customHeight="false" outlineLevel="0" collapsed="false">
      <c r="I316" s="17"/>
      <c r="J316" s="17"/>
      <c r="K316" s="17"/>
      <c r="M316" s="24"/>
      <c r="N316" s="17"/>
      <c r="AD316" s="20"/>
      <c r="AE316" s="20"/>
      <c r="AF316" s="20"/>
      <c r="AG316" s="20"/>
      <c r="AH316" s="20"/>
      <c r="AI316" s="20"/>
      <c r="AJ316" s="20"/>
      <c r="AK316" s="20"/>
    </row>
    <row r="317" s="14" customFormat="true" ht="15" hidden="false" customHeight="false" outlineLevel="0" collapsed="false">
      <c r="I317" s="17"/>
      <c r="J317" s="17"/>
      <c r="K317" s="17"/>
      <c r="M317" s="24"/>
      <c r="N317" s="17"/>
      <c r="AD317" s="20"/>
      <c r="AE317" s="20"/>
      <c r="AF317" s="20"/>
      <c r="AG317" s="20"/>
      <c r="AH317" s="20"/>
      <c r="AI317" s="20"/>
      <c r="AJ317" s="20"/>
      <c r="AK317" s="20"/>
    </row>
    <row r="318" s="14" customFormat="true" ht="15" hidden="false" customHeight="false" outlineLevel="0" collapsed="false">
      <c r="I318" s="17"/>
      <c r="J318" s="17"/>
      <c r="K318" s="17"/>
      <c r="M318" s="24"/>
      <c r="N318" s="17"/>
      <c r="AD318" s="20"/>
      <c r="AE318" s="20"/>
      <c r="AF318" s="20"/>
      <c r="AG318" s="20"/>
      <c r="AH318" s="20"/>
      <c r="AI318" s="20"/>
      <c r="AJ318" s="20"/>
      <c r="AK318" s="20"/>
    </row>
    <row r="319" s="14" customFormat="true" ht="15" hidden="false" customHeight="false" outlineLevel="0" collapsed="false">
      <c r="I319" s="17"/>
      <c r="J319" s="17"/>
      <c r="K319" s="17"/>
      <c r="M319" s="24"/>
      <c r="N319" s="17"/>
      <c r="AD319" s="20"/>
      <c r="AE319" s="20"/>
      <c r="AF319" s="20"/>
      <c r="AG319" s="20"/>
      <c r="AH319" s="20"/>
      <c r="AI319" s="20"/>
      <c r="AJ319" s="20"/>
      <c r="AK319" s="20"/>
    </row>
    <row r="320" s="14" customFormat="true" ht="15" hidden="false" customHeight="false" outlineLevel="0" collapsed="false">
      <c r="I320" s="17"/>
      <c r="J320" s="17"/>
      <c r="K320" s="17"/>
      <c r="M320" s="24"/>
      <c r="N320" s="17"/>
      <c r="AD320" s="20"/>
      <c r="AE320" s="20"/>
      <c r="AF320" s="20"/>
      <c r="AG320" s="20"/>
      <c r="AH320" s="20"/>
      <c r="AI320" s="20"/>
      <c r="AJ320" s="20"/>
      <c r="AK320" s="20"/>
    </row>
    <row r="321" s="14" customFormat="true" ht="15" hidden="false" customHeight="false" outlineLevel="0" collapsed="false">
      <c r="I321" s="17"/>
      <c r="J321" s="17"/>
      <c r="K321" s="17"/>
      <c r="M321" s="24"/>
      <c r="N321" s="17"/>
      <c r="AD321" s="20"/>
      <c r="AE321" s="20"/>
      <c r="AF321" s="20"/>
      <c r="AG321" s="20"/>
      <c r="AH321" s="20"/>
      <c r="AI321" s="20"/>
      <c r="AJ321" s="20"/>
      <c r="AK321" s="20"/>
    </row>
    <row r="322" s="14" customFormat="true" ht="15" hidden="false" customHeight="false" outlineLevel="0" collapsed="false"/>
    <row r="323" s="14" customFormat="true" ht="15" hidden="false" customHeight="false" outlineLevel="0" collapsed="false"/>
    <row r="324" s="14" customFormat="true" ht="15" hidden="false" customHeight="false" outlineLevel="0" collapsed="false"/>
    <row r="325" s="14" customFormat="true" ht="15" hidden="false" customHeight="false" outlineLevel="0" collapsed="false"/>
    <row r="326" s="14" customFormat="true" ht="15" hidden="false" customHeight="false" outlineLevel="0" collapsed="false"/>
    <row r="327" s="14" customFormat="true" ht="15" hidden="false" customHeight="false" outlineLevel="0" collapsed="false">
      <c r="F327" s="18"/>
    </row>
    <row r="328" s="14" customFormat="true" ht="15" hidden="false" customHeight="false" outlineLevel="0" collapsed="false">
      <c r="F328" s="18"/>
    </row>
    <row r="329" s="14" customFormat="true" ht="15" hidden="false" customHeight="false" outlineLevel="0" collapsed="false">
      <c r="E329" s="17"/>
      <c r="F329" s="17"/>
    </row>
    <row r="330" s="14" customFormat="true" ht="15" hidden="false" customHeight="false" outlineLevel="0" collapsed="false"/>
    <row r="331" s="14" customFormat="true" ht="15" hidden="false" customHeight="false" outlineLevel="0" collapsed="false"/>
    <row r="332" s="14" customFormat="true" ht="15" hidden="false" customHeight="false" outlineLevel="0" collapsed="false">
      <c r="H332" s="20"/>
      <c r="I332" s="20"/>
      <c r="J332" s="20"/>
      <c r="K332" s="20"/>
      <c r="L332" s="20"/>
      <c r="M332" s="20"/>
      <c r="N332" s="20"/>
      <c r="O332" s="20"/>
    </row>
    <row r="333" s="14" customFormat="true" ht="15" hidden="false" customHeight="false" outlineLevel="0" collapsed="false"/>
    <row r="334" s="14" customFormat="true" ht="15" hidden="false" customHeight="false" outlineLevel="0" collapsed="false"/>
    <row r="335" s="14" customFormat="true" ht="15" hidden="false" customHeight="false" outlineLevel="0" collapsed="false"/>
    <row r="336" s="14" customFormat="true" ht="15" hidden="false" customHeight="false" outlineLevel="0" collapsed="false"/>
    <row r="337" s="14" customFormat="true" ht="15" hidden="false" customHeight="false" outlineLevel="0" collapsed="false"/>
    <row r="338" s="14" customFormat="true" ht="15" hidden="false" customHeight="false" outlineLevel="0" collapsed="false"/>
    <row r="339" s="14" customFormat="true" ht="15" hidden="false" customHeight="false" outlineLevel="0" collapsed="false"/>
    <row r="340" s="14" customFormat="true" ht="24.45" hidden="false" customHeight="false" outlineLevel="0" collapsed="false">
      <c r="E340" s="20"/>
      <c r="F340" s="20"/>
      <c r="G340" s="20"/>
      <c r="H340" s="20"/>
      <c r="I340" s="20"/>
      <c r="J340" s="20"/>
      <c r="K340" s="20"/>
      <c r="L340" s="20"/>
      <c r="N340" s="21"/>
      <c r="W340" s="25"/>
      <c r="X340" s="25"/>
      <c r="Y340" s="25"/>
      <c r="Z340" s="25"/>
      <c r="AA340" s="25"/>
      <c r="AB340" s="25"/>
      <c r="AC340" s="25"/>
      <c r="AD340" s="25"/>
      <c r="AE340" s="25"/>
      <c r="AF340" s="25"/>
      <c r="AG340" s="25"/>
    </row>
    <row r="341" s="14" customFormat="true" ht="15" hidden="false" customHeight="false" outlineLevel="0" collapsed="false">
      <c r="E341" s="20"/>
      <c r="F341" s="20"/>
      <c r="G341" s="20"/>
      <c r="H341" s="20"/>
      <c r="I341" s="20"/>
      <c r="J341" s="20"/>
      <c r="K341" s="20"/>
      <c r="L341" s="20"/>
      <c r="W341" s="25"/>
      <c r="X341" s="25"/>
      <c r="Y341" s="25"/>
      <c r="Z341" s="25"/>
      <c r="AA341" s="25"/>
      <c r="AB341" s="25"/>
      <c r="AC341" s="25"/>
      <c r="AD341" s="25"/>
      <c r="AE341" s="25"/>
      <c r="AF341" s="25"/>
      <c r="AG341" s="25"/>
    </row>
    <row r="342" s="14" customFormat="true" ht="15" hidden="false" customHeight="false" outlineLevel="0" collapsed="false">
      <c r="W342" s="25"/>
      <c r="X342" s="25"/>
      <c r="Y342" s="25"/>
      <c r="Z342" s="25"/>
      <c r="AA342" s="25"/>
      <c r="AB342" s="25"/>
      <c r="AC342" s="25"/>
      <c r="AD342" s="25"/>
      <c r="AE342" s="25"/>
      <c r="AF342" s="25"/>
      <c r="AG342" s="25"/>
    </row>
    <row r="343" s="14" customFormat="true" ht="15" hidden="false" customHeight="false" outlineLevel="0" collapsed="false"/>
    <row r="344" s="14" customFormat="true" ht="15" hidden="false" customHeight="false" outlineLevel="0" collapsed="false"/>
    <row r="345" s="14" customFormat="true" ht="15" hidden="false" customHeight="false" outlineLevel="0" collapsed="false"/>
    <row r="346" s="14" customFormat="true" ht="17.35" hidden="false" customHeight="false" outlineLevel="0" collapsed="false">
      <c r="A346" s="15"/>
      <c r="B346" s="23"/>
      <c r="C346" s="23"/>
      <c r="D346" s="23"/>
      <c r="E346" s="23"/>
      <c r="F346" s="23"/>
      <c r="G346" s="23"/>
    </row>
    <row r="347" s="14" customFormat="true" ht="15" hidden="false" customHeight="false" outlineLevel="0" collapsed="false">
      <c r="A347" s="23"/>
      <c r="B347" s="23"/>
      <c r="C347" s="23"/>
      <c r="D347" s="23"/>
      <c r="E347" s="23"/>
      <c r="F347" s="23"/>
      <c r="G347" s="23"/>
    </row>
    <row r="348" s="14" customFormat="true" ht="15" hidden="false" customHeight="false" outlineLevel="0" collapsed="false"/>
    <row r="349" s="14" customFormat="true" ht="15" hidden="false" customHeight="false" outlineLevel="0" collapsed="false">
      <c r="F349" s="19"/>
      <c r="H349" s="18"/>
    </row>
    <row r="350" s="14" customFormat="true" ht="15" hidden="false" customHeight="false" outlineLevel="0" collapsed="false">
      <c r="F350" s="17"/>
      <c r="G350" s="17"/>
      <c r="H350" s="17"/>
    </row>
    <row r="351" s="14" customFormat="true" ht="15" hidden="false" customHeight="false" outlineLevel="0" collapsed="false">
      <c r="F351" s="17"/>
      <c r="G351" s="17"/>
      <c r="H351" s="17"/>
      <c r="J351" s="17"/>
      <c r="K351" s="17"/>
    </row>
    <row r="352" s="14" customFormat="true" ht="15" hidden="false" customHeight="false" outlineLevel="0" collapsed="false">
      <c r="F352" s="17"/>
      <c r="G352" s="17"/>
      <c r="H352" s="17"/>
      <c r="J352" s="17"/>
      <c r="K352" s="17"/>
    </row>
    <row r="353" s="14" customFormat="true" ht="15" hidden="false" customHeight="false" outlineLevel="0" collapsed="false">
      <c r="F353" s="17"/>
      <c r="G353" s="17"/>
      <c r="H353" s="17"/>
      <c r="J353" s="17"/>
      <c r="K353" s="17"/>
    </row>
    <row r="354" s="14" customFormat="true" ht="15" hidden="false" customHeight="false" outlineLevel="0" collapsed="false">
      <c r="F354" s="17"/>
      <c r="G354" s="17"/>
      <c r="H354" s="17"/>
      <c r="J354" s="17"/>
      <c r="K354" s="17"/>
    </row>
    <row r="355" s="14" customFormat="true" ht="15" hidden="false" customHeight="false" outlineLevel="0" collapsed="false">
      <c r="F355" s="17"/>
      <c r="G355" s="17"/>
      <c r="H355" s="17"/>
      <c r="J355" s="17"/>
      <c r="K355" s="17"/>
    </row>
    <row r="356" s="14" customFormat="true" ht="15" hidden="false" customHeight="false" outlineLevel="0" collapsed="false">
      <c r="F356" s="17"/>
      <c r="G356" s="17"/>
      <c r="H356" s="17"/>
      <c r="J356" s="17"/>
      <c r="K356" s="17"/>
    </row>
    <row r="357" s="14" customFormat="true" ht="15" hidden="false" customHeight="false" outlineLevel="0" collapsed="false">
      <c r="F357" s="17"/>
      <c r="G357" s="17"/>
      <c r="H357" s="17"/>
      <c r="J357" s="17"/>
      <c r="K357" s="17"/>
    </row>
    <row r="358" s="14" customFormat="true" ht="15" hidden="false" customHeight="false" outlineLevel="0" collapsed="false">
      <c r="F358" s="17"/>
      <c r="G358" s="17"/>
      <c r="H358" s="17"/>
      <c r="J358" s="17"/>
      <c r="K358" s="17"/>
    </row>
    <row r="359" s="14" customFormat="true" ht="15" hidden="false" customHeight="false" outlineLevel="0" collapsed="false"/>
    <row r="360" s="14" customFormat="true" ht="15" hidden="false" customHeight="false" outlineLevel="0" collapsed="false"/>
    <row r="361" s="14" customFormat="true" ht="15" hidden="false" customHeight="false" outlineLevel="0" collapsed="false"/>
    <row r="362" s="14" customFormat="true" ht="15" hidden="false" customHeight="false" outlineLevel="0" collapsed="false"/>
    <row r="363" s="14" customFormat="true" ht="15" hidden="false" customHeight="false" outlineLevel="0" collapsed="false"/>
    <row r="364" s="14" customFormat="true" ht="30" hidden="false" customHeight="true" outlineLevel="0" collapsed="false">
      <c r="C364" s="18"/>
      <c r="V364" s="18"/>
    </row>
    <row r="365" s="14" customFormat="true" ht="24.75" hidden="false" customHeight="true" outlineLevel="0" collapsed="false">
      <c r="L365" s="18"/>
    </row>
    <row r="366" s="14" customFormat="true" ht="15" hidden="false" customHeight="false" outlineLevel="0" collapsed="false">
      <c r="Y366" s="20"/>
    </row>
    <row r="367" s="14" customFormat="true" ht="15" hidden="false" customHeight="false" outlineLevel="0" collapsed="false"/>
    <row r="368" s="14" customFormat="true" ht="15" hidden="false" customHeight="false" outlineLevel="0" collapsed="false"/>
    <row r="369" s="14" customFormat="true" ht="15" hidden="false" customHeight="false" outlineLevel="0" collapsed="false"/>
    <row r="370" s="14" customFormat="true" ht="15" hidden="false" customHeight="false" outlineLevel="0" collapsed="false"/>
    <row r="371" s="14" customFormat="true" ht="15" hidden="false" customHeight="false" outlineLevel="0" collapsed="false"/>
    <row r="372" s="14" customFormat="true" ht="15" hidden="false" customHeight="false" outlineLevel="0" collapsed="false"/>
    <row r="373" s="14" customFormat="true" ht="15" hidden="false" customHeight="false" outlineLevel="0" collapsed="false"/>
    <row r="374" s="14" customFormat="true" ht="15" hidden="false" customHeight="false" outlineLevel="0" collapsed="false"/>
    <row r="375" s="14" customFormat="true" ht="15" hidden="false" customHeight="false" outlineLevel="0" collapsed="false"/>
    <row r="376" s="14" customFormat="true" ht="15" hidden="false" customHeight="false" outlineLevel="0" collapsed="false"/>
    <row r="377" s="14" customFormat="true" ht="15" hidden="false" customHeight="false" outlineLevel="0" collapsed="false"/>
    <row r="378" s="14" customFormat="true" ht="14.25" hidden="false" customHeight="true" outlineLevel="0" collapsed="false">
      <c r="C378" s="16"/>
      <c r="AD378" s="18"/>
    </row>
    <row r="379" s="14" customFormat="true" ht="23.25" hidden="false" customHeight="true" outlineLevel="0" collapsed="false">
      <c r="C379" s="16"/>
      <c r="J379" s="19"/>
      <c r="L379" s="18"/>
      <c r="U379" s="18"/>
      <c r="AD379" s="18"/>
    </row>
    <row r="380" s="14" customFormat="true" ht="15" hidden="false" customHeight="false" outlineLevel="0" collapsed="false">
      <c r="J380" s="17"/>
      <c r="K380" s="17"/>
      <c r="L380" s="17"/>
    </row>
    <row r="381" s="14" customFormat="true" ht="15" hidden="false" customHeight="false" outlineLevel="0" collapsed="false">
      <c r="J381" s="17"/>
      <c r="K381" s="17"/>
      <c r="L381" s="17"/>
      <c r="N381" s="17"/>
      <c r="O381" s="17"/>
      <c r="X381" s="20"/>
      <c r="AF381" s="20"/>
    </row>
    <row r="382" s="14" customFormat="true" ht="15" hidden="false" customHeight="false" outlineLevel="0" collapsed="false">
      <c r="J382" s="17"/>
      <c r="K382" s="17"/>
      <c r="L382" s="17"/>
      <c r="N382" s="17"/>
      <c r="O382" s="17"/>
      <c r="AF382" s="20"/>
    </row>
    <row r="383" s="14" customFormat="true" ht="15" hidden="false" customHeight="false" outlineLevel="0" collapsed="false">
      <c r="J383" s="17"/>
      <c r="K383" s="17"/>
      <c r="L383" s="17"/>
      <c r="N383" s="17"/>
      <c r="O383" s="17"/>
      <c r="AF383" s="20"/>
    </row>
    <row r="384" s="14" customFormat="true" ht="15" hidden="false" customHeight="false" outlineLevel="0" collapsed="false">
      <c r="J384" s="17"/>
      <c r="K384" s="17"/>
      <c r="L384" s="17"/>
      <c r="N384" s="17"/>
      <c r="O384" s="17"/>
      <c r="AF384" s="20"/>
    </row>
    <row r="385" s="14" customFormat="true" ht="15" hidden="false" customHeight="false" outlineLevel="0" collapsed="false">
      <c r="J385" s="17"/>
      <c r="K385" s="17"/>
      <c r="L385" s="17"/>
      <c r="N385" s="17"/>
      <c r="O385" s="17"/>
      <c r="AF385" s="20"/>
    </row>
    <row r="386" s="14" customFormat="true" ht="15" hidden="false" customHeight="false" outlineLevel="0" collapsed="false">
      <c r="J386" s="17"/>
      <c r="K386" s="17"/>
      <c r="L386" s="17"/>
      <c r="N386" s="17"/>
      <c r="O386" s="17"/>
      <c r="AF386" s="20"/>
    </row>
    <row r="387" s="14" customFormat="true" ht="15" hidden="false" customHeight="false" outlineLevel="0" collapsed="false">
      <c r="J387" s="17"/>
      <c r="K387" s="17"/>
      <c r="L387" s="17"/>
      <c r="N387" s="17"/>
      <c r="O387" s="17"/>
      <c r="AF387" s="20"/>
    </row>
    <row r="388" s="14" customFormat="true" ht="15" hidden="false" customHeight="false" outlineLevel="0" collapsed="false">
      <c r="J388" s="17"/>
      <c r="K388" s="17"/>
      <c r="L388" s="17"/>
      <c r="N388" s="17"/>
      <c r="O388" s="17"/>
      <c r="AF388" s="20"/>
    </row>
    <row r="389" s="14" customFormat="true" ht="15" hidden="false" customHeight="false" outlineLevel="0" collapsed="false"/>
    <row r="390" s="14" customFormat="true" ht="15" hidden="false" customHeight="false" outlineLevel="0" collapsed="false"/>
    <row r="391" s="14" customFormat="true" ht="15" hidden="false" customHeight="false" outlineLevel="0" collapsed="false"/>
    <row r="392" s="14" customFormat="true" ht="15" hidden="false" customHeight="false" outlineLevel="0" collapsed="false"/>
    <row r="393" s="14" customFormat="true" ht="15" hidden="false" customHeight="false" outlineLevel="0" collapsed="false"/>
    <row r="394" s="14" customFormat="true" ht="15" hidden="false" customHeight="false" outlineLevel="0" collapsed="false">
      <c r="F394" s="18"/>
    </row>
    <row r="395" s="14" customFormat="true" ht="15" hidden="false" customHeight="false" outlineLevel="0" collapsed="false">
      <c r="F395" s="18"/>
    </row>
    <row r="396" s="14" customFormat="true" ht="15" hidden="false" customHeight="false" outlineLevel="0" collapsed="false">
      <c r="E396" s="17"/>
      <c r="F396" s="17"/>
    </row>
    <row r="397" s="14" customFormat="true" ht="15" hidden="false" customHeight="false" outlineLevel="0" collapsed="false"/>
    <row r="398" s="14" customFormat="true" ht="15" hidden="false" customHeight="false" outlineLevel="0" collapsed="false"/>
    <row r="399" s="14" customFormat="true" ht="15" hidden="false" customHeight="false" outlineLevel="0" collapsed="false">
      <c r="H399" s="20"/>
      <c r="I399" s="20"/>
      <c r="J399" s="20"/>
      <c r="K399" s="20"/>
      <c r="L399" s="20"/>
      <c r="M399" s="20"/>
      <c r="N399" s="20"/>
      <c r="O399" s="20"/>
    </row>
    <row r="400" s="14" customFormat="true" ht="15" hidden="false" customHeight="false" outlineLevel="0" collapsed="false"/>
    <row r="401" s="14" customFormat="true" ht="15" hidden="false" customHeight="false" outlineLevel="0" collapsed="false"/>
    <row r="402" s="14" customFormat="true" ht="15" hidden="false" customHeight="false" outlineLevel="0" collapsed="false"/>
    <row r="403" s="14" customFormat="true" ht="15" hidden="false" customHeight="false" outlineLevel="0" collapsed="false"/>
    <row r="404" s="14" customFormat="true" ht="15" hidden="false" customHeight="false" outlineLevel="0" collapsed="false"/>
    <row r="405" s="14" customFormat="true" ht="15" hidden="false" customHeight="false" outlineLevel="0" collapsed="false"/>
    <row r="406" s="14" customFormat="true" ht="15" hidden="false" customHeight="false" outlineLevel="0" collapsed="false"/>
    <row r="407" s="14" customFormat="true" ht="15" hidden="false" customHeight="false" outlineLevel="0" collapsed="false"/>
    <row r="408" s="14" customFormat="true" ht="15" hidden="false" customHeight="false" outlineLevel="0" collapsed="false">
      <c r="E408" s="20"/>
      <c r="F408" s="20"/>
      <c r="G408" s="20"/>
      <c r="H408" s="20"/>
      <c r="I408" s="20"/>
      <c r="J408" s="20"/>
      <c r="K408" s="20"/>
      <c r="L408" s="20"/>
    </row>
    <row r="409" s="14" customFormat="true" ht="15" hidden="false" customHeight="false" outlineLevel="0" collapsed="false">
      <c r="E409" s="20"/>
      <c r="F409" s="20"/>
      <c r="G409" s="20"/>
      <c r="H409" s="20"/>
      <c r="I409" s="20"/>
      <c r="J409" s="20"/>
      <c r="K409" s="20"/>
      <c r="L409" s="20"/>
    </row>
    <row r="410" s="14" customFormat="true" ht="15" hidden="false" customHeight="false" outlineLevel="0" collapsed="false"/>
    <row r="411" s="14" customFormat="true" ht="24.45" hidden="false" customHeight="false" outlineLevel="0" collapsed="false">
      <c r="D411" s="21"/>
      <c r="L411" s="26"/>
      <c r="M411" s="26"/>
      <c r="N411" s="26"/>
      <c r="O411" s="26"/>
      <c r="P411" s="26"/>
      <c r="Q411" s="26"/>
      <c r="R411" s="26"/>
      <c r="S411" s="26"/>
      <c r="T411" s="26"/>
      <c r="U411" s="26"/>
      <c r="V411" s="26"/>
      <c r="W411" s="26"/>
      <c r="X411" s="26"/>
      <c r="Y411" s="26"/>
    </row>
    <row r="412" s="14" customFormat="true" ht="15" hidden="false" customHeight="false" outlineLevel="0" collapsed="false">
      <c r="L412" s="26"/>
      <c r="M412" s="26"/>
      <c r="N412" s="26"/>
      <c r="O412" s="26"/>
      <c r="P412" s="26"/>
      <c r="Q412" s="26"/>
      <c r="R412" s="26"/>
      <c r="S412" s="26"/>
      <c r="T412" s="26"/>
      <c r="U412" s="26"/>
      <c r="V412" s="26"/>
      <c r="W412" s="26"/>
      <c r="X412" s="26"/>
      <c r="Y412" s="26"/>
    </row>
    <row r="413" s="14" customFormat="true" ht="15" hidden="false" customHeight="false" outlineLevel="0" collapsed="false"/>
    <row r="414" s="14" customFormat="true" ht="15" hidden="false" customHeight="false" outlineLevel="0" collapsed="false"/>
    <row r="415" s="14" customFormat="true" ht="15" hidden="false" customHeight="false" outlineLevel="0" collapsed="false">
      <c r="A415" s="23"/>
    </row>
    <row r="416" s="14" customFormat="true" ht="15" hidden="false" customHeight="false" outlineLevel="0" collapsed="false"/>
    <row r="417" s="14" customFormat="true" ht="15" hidden="false" customHeight="false" outlineLevel="0" collapsed="false"/>
    <row r="418" s="14" customFormat="true" ht="15" hidden="false" customHeight="false" outlineLevel="0" collapsed="false"/>
    <row r="419" s="14" customFormat="true" ht="15" hidden="false" customHeight="false" outlineLevel="0" collapsed="false">
      <c r="F419" s="19"/>
      <c r="H419" s="18"/>
    </row>
    <row r="420" s="14" customFormat="true" ht="15" hidden="false" customHeight="false" outlineLevel="0" collapsed="false">
      <c r="F420" s="17"/>
      <c r="G420" s="17"/>
      <c r="H420" s="17"/>
    </row>
    <row r="421" s="14" customFormat="true" ht="15" hidden="false" customHeight="false" outlineLevel="0" collapsed="false">
      <c r="F421" s="17"/>
      <c r="G421" s="17"/>
      <c r="H421" s="17"/>
      <c r="J421" s="17"/>
      <c r="K421" s="17"/>
    </row>
    <row r="422" s="14" customFormat="true" ht="15" hidden="false" customHeight="false" outlineLevel="0" collapsed="false">
      <c r="F422" s="17"/>
      <c r="G422" s="17"/>
      <c r="H422" s="17"/>
      <c r="J422" s="17"/>
      <c r="K422" s="17"/>
    </row>
    <row r="423" s="14" customFormat="true" ht="15" hidden="false" customHeight="false" outlineLevel="0" collapsed="false">
      <c r="F423" s="17"/>
      <c r="G423" s="17"/>
      <c r="H423" s="17"/>
      <c r="J423" s="17"/>
      <c r="K423" s="17"/>
    </row>
    <row r="424" s="14" customFormat="true" ht="15" hidden="false" customHeight="false" outlineLevel="0" collapsed="false">
      <c r="F424" s="17"/>
      <c r="G424" s="17"/>
      <c r="H424" s="17"/>
      <c r="J424" s="17"/>
      <c r="K424" s="17"/>
    </row>
    <row r="425" s="14" customFormat="true" ht="15" hidden="false" customHeight="false" outlineLevel="0" collapsed="false">
      <c r="F425" s="17"/>
      <c r="G425" s="17"/>
      <c r="H425" s="17"/>
      <c r="J425" s="17"/>
      <c r="K425" s="17"/>
    </row>
    <row r="426" s="14" customFormat="true" ht="15" hidden="false" customHeight="false" outlineLevel="0" collapsed="false">
      <c r="F426" s="17"/>
      <c r="G426" s="17"/>
      <c r="H426" s="17"/>
      <c r="J426" s="17"/>
      <c r="K426" s="17"/>
    </row>
    <row r="427" s="14" customFormat="true" ht="15" hidden="false" customHeight="false" outlineLevel="0" collapsed="false">
      <c r="F427" s="17"/>
      <c r="G427" s="17"/>
      <c r="H427" s="17"/>
      <c r="J427" s="17"/>
      <c r="K427" s="17"/>
    </row>
    <row r="428" s="14" customFormat="true" ht="15" hidden="false" customHeight="false" outlineLevel="0" collapsed="false">
      <c r="F428" s="17"/>
      <c r="G428" s="17"/>
      <c r="H428" s="17"/>
      <c r="J428" s="17"/>
      <c r="K428" s="17"/>
    </row>
    <row r="429" s="14" customFormat="true" ht="15" hidden="false" customHeight="false" outlineLevel="0" collapsed="false"/>
    <row r="430" s="14" customFormat="true" ht="15" hidden="false" customHeight="false" outlineLevel="0" collapsed="false"/>
    <row r="431" s="14" customFormat="true" ht="15" hidden="false" customHeight="false" outlineLevel="0" collapsed="false"/>
    <row r="432" s="14" customFormat="true" ht="15" hidden="false" customHeight="false" outlineLevel="0" collapsed="false"/>
    <row r="433" s="14" customFormat="true" ht="15" hidden="false" customHeight="false" outlineLevel="0" collapsed="false"/>
    <row r="434" s="14" customFormat="true" ht="16.5" hidden="false" customHeight="true" outlineLevel="0" collapsed="false">
      <c r="C434" s="18"/>
      <c r="V434" s="18"/>
    </row>
    <row r="435" s="14" customFormat="true" ht="20.25" hidden="false" customHeight="true" outlineLevel="0" collapsed="false">
      <c r="L435" s="18"/>
    </row>
    <row r="436" s="14" customFormat="true" ht="15" hidden="false" customHeight="false" outlineLevel="0" collapsed="false">
      <c r="Y436" s="20"/>
    </row>
    <row r="437" s="14" customFormat="true" ht="15" hidden="false" customHeight="false" outlineLevel="0" collapsed="false"/>
    <row r="438" s="14" customFormat="true" ht="15" hidden="false" customHeight="false" outlineLevel="0" collapsed="false"/>
    <row r="439" s="14" customFormat="true" ht="15" hidden="false" customHeight="false" outlineLevel="0" collapsed="false"/>
    <row r="440" s="14" customFormat="true" ht="15" hidden="false" customHeight="false" outlineLevel="0" collapsed="false"/>
    <row r="441" s="14" customFormat="true" ht="15" hidden="false" customHeight="false" outlineLevel="0" collapsed="false"/>
    <row r="442" s="14" customFormat="true" ht="15" hidden="false" customHeight="false" outlineLevel="0" collapsed="false"/>
    <row r="443" s="14" customFormat="true" ht="15" hidden="false" customHeight="false" outlineLevel="0" collapsed="false"/>
    <row r="444" s="14" customFormat="true" ht="15" hidden="false" customHeight="false" outlineLevel="0" collapsed="false"/>
    <row r="445" s="14" customFormat="true" ht="15" hidden="false" customHeight="false" outlineLevel="0" collapsed="false"/>
    <row r="446" s="14" customFormat="true" ht="15" hidden="false" customHeight="false" outlineLevel="0" collapsed="false"/>
    <row r="447" s="14" customFormat="true" ht="15" hidden="false" customHeight="false" outlineLevel="0" collapsed="false"/>
    <row r="448" s="14" customFormat="true" ht="15" hidden="false" customHeight="false" outlineLevel="0" collapsed="false">
      <c r="C448" s="16"/>
      <c r="AD448" s="18"/>
    </row>
    <row r="449" s="14" customFormat="true" ht="28.5" hidden="false" customHeight="true" outlineLevel="0" collapsed="false">
      <c r="C449" s="16"/>
      <c r="J449" s="19"/>
      <c r="L449" s="18"/>
      <c r="U449" s="18"/>
      <c r="AD449" s="18"/>
    </row>
    <row r="450" s="14" customFormat="true" ht="15" hidden="false" customHeight="false" outlineLevel="0" collapsed="false">
      <c r="J450" s="17"/>
      <c r="K450" s="17"/>
      <c r="L450" s="17"/>
    </row>
    <row r="451" s="14" customFormat="true" ht="15" hidden="false" customHeight="false" outlineLevel="0" collapsed="false">
      <c r="J451" s="17"/>
      <c r="K451" s="17"/>
      <c r="L451" s="17"/>
      <c r="N451" s="17"/>
      <c r="O451" s="17"/>
      <c r="X451" s="20"/>
      <c r="AF451" s="20"/>
    </row>
    <row r="452" s="14" customFormat="true" ht="15" hidden="false" customHeight="false" outlineLevel="0" collapsed="false">
      <c r="J452" s="17"/>
      <c r="K452" s="17"/>
      <c r="L452" s="17"/>
      <c r="N452" s="17"/>
      <c r="O452" s="17"/>
      <c r="AF452" s="20"/>
    </row>
    <row r="453" s="14" customFormat="true" ht="15" hidden="false" customHeight="false" outlineLevel="0" collapsed="false">
      <c r="J453" s="17"/>
      <c r="K453" s="17"/>
      <c r="L453" s="17"/>
      <c r="N453" s="17"/>
      <c r="O453" s="17"/>
      <c r="AF453" s="20"/>
    </row>
    <row r="454" s="14" customFormat="true" ht="15" hidden="false" customHeight="false" outlineLevel="0" collapsed="false">
      <c r="J454" s="17"/>
      <c r="K454" s="17"/>
      <c r="L454" s="17"/>
      <c r="N454" s="17"/>
      <c r="O454" s="17"/>
      <c r="AF454" s="20"/>
    </row>
    <row r="455" s="14" customFormat="true" ht="15" hidden="false" customHeight="false" outlineLevel="0" collapsed="false">
      <c r="J455" s="17"/>
      <c r="K455" s="17"/>
      <c r="L455" s="17"/>
      <c r="N455" s="17"/>
      <c r="O455" s="17"/>
      <c r="AF455" s="20"/>
    </row>
    <row r="456" s="14" customFormat="true" ht="15" hidden="false" customHeight="false" outlineLevel="0" collapsed="false">
      <c r="J456" s="17"/>
      <c r="K456" s="17"/>
      <c r="L456" s="17"/>
      <c r="N456" s="17"/>
      <c r="O456" s="17"/>
      <c r="AF456" s="20"/>
    </row>
    <row r="457" s="14" customFormat="true" ht="15" hidden="false" customHeight="false" outlineLevel="0" collapsed="false">
      <c r="J457" s="17"/>
      <c r="K457" s="17"/>
      <c r="L457" s="17"/>
      <c r="N457" s="17"/>
      <c r="O457" s="17"/>
      <c r="AF457" s="20"/>
    </row>
    <row r="458" s="14" customFormat="true" ht="15" hidden="false" customHeight="false" outlineLevel="0" collapsed="false">
      <c r="J458" s="17"/>
      <c r="K458" s="17"/>
      <c r="L458" s="17"/>
      <c r="N458" s="17"/>
      <c r="O458" s="17"/>
      <c r="AF458" s="20"/>
    </row>
    <row r="459" s="14" customFormat="true" ht="15" hidden="false" customHeight="false" outlineLevel="0" collapsed="false"/>
    <row r="460" s="14" customFormat="true" ht="15" hidden="false" customHeight="false" outlineLevel="0" collapsed="false"/>
    <row r="461" s="14" customFormat="true" ht="15" hidden="false" customHeight="false" outlineLevel="0" collapsed="false"/>
    <row r="462" s="14" customFormat="true" ht="15" hidden="false" customHeight="false" outlineLevel="0" collapsed="false"/>
    <row r="463" s="14" customFormat="true" ht="15" hidden="false" customHeight="false" outlineLevel="0" collapsed="false"/>
    <row r="464" s="14" customFormat="true" ht="15" hidden="false" customHeight="false" outlineLevel="0" collapsed="false">
      <c r="E464" s="18"/>
    </row>
    <row r="465" s="14" customFormat="true" ht="15" hidden="false" customHeight="false" outlineLevel="0" collapsed="false">
      <c r="E465" s="18"/>
    </row>
    <row r="466" s="14" customFormat="true" ht="15" hidden="false" customHeight="false" outlineLevel="0" collapsed="false">
      <c r="D466" s="17"/>
      <c r="E466" s="17"/>
    </row>
    <row r="467" s="14" customFormat="true" ht="15" hidden="false" customHeight="false" outlineLevel="0" collapsed="false"/>
    <row r="468" s="14" customFormat="true" ht="15" hidden="false" customHeight="false" outlineLevel="0" collapsed="false"/>
    <row r="469" s="14" customFormat="true" ht="15" hidden="false" customHeight="false" outlineLevel="0" collapsed="false">
      <c r="G469" s="20"/>
      <c r="H469" s="20"/>
      <c r="I469" s="20"/>
      <c r="J469" s="20"/>
      <c r="K469" s="20"/>
      <c r="L469" s="20"/>
      <c r="M469" s="20"/>
      <c r="N469" s="20"/>
    </row>
    <row r="470" s="14" customFormat="true" ht="15" hidden="false" customHeight="false" outlineLevel="0" collapsed="false"/>
    <row r="471" s="14" customFormat="true" ht="15" hidden="false" customHeight="false" outlineLevel="0" collapsed="false"/>
    <row r="472" s="14" customFormat="true" ht="15" hidden="false" customHeight="false" outlineLevel="0" collapsed="false"/>
    <row r="473" s="14" customFormat="true" ht="15" hidden="false" customHeight="false" outlineLevel="0" collapsed="false"/>
    <row r="474" s="14" customFormat="true" ht="15" hidden="false" customHeight="false" outlineLevel="0" collapsed="false"/>
    <row r="475" s="14" customFormat="true" ht="15" hidden="false" customHeight="false" outlineLevel="0" collapsed="false"/>
    <row r="476" s="14" customFormat="true" ht="15" hidden="false" customHeight="false" outlineLevel="0" collapsed="false">
      <c r="V476" s="27"/>
      <c r="W476" s="27"/>
      <c r="X476" s="27"/>
      <c r="Y476" s="27"/>
      <c r="Z476" s="27"/>
      <c r="AA476" s="27"/>
      <c r="AB476" s="27"/>
      <c r="AC476" s="27"/>
      <c r="AD476" s="27"/>
      <c r="AE476" s="27"/>
      <c r="AF476" s="27"/>
    </row>
    <row r="477" s="14" customFormat="true" ht="24.45" hidden="false" customHeight="false" outlineLevel="0" collapsed="false">
      <c r="M477" s="21"/>
      <c r="V477" s="27"/>
      <c r="W477" s="27"/>
      <c r="X477" s="27"/>
      <c r="Y477" s="27"/>
      <c r="Z477" s="27"/>
      <c r="AA477" s="27"/>
      <c r="AB477" s="27"/>
      <c r="AC477" s="27"/>
      <c r="AD477" s="27"/>
      <c r="AE477" s="27"/>
      <c r="AF477" s="27"/>
    </row>
    <row r="478" s="14" customFormat="true" ht="15" hidden="false" customHeight="false" outlineLevel="0" collapsed="false">
      <c r="D478" s="20"/>
      <c r="E478" s="20"/>
      <c r="F478" s="20"/>
      <c r="G478" s="20"/>
      <c r="H478" s="20"/>
      <c r="I478" s="20"/>
      <c r="J478" s="20"/>
      <c r="K478" s="20"/>
    </row>
    <row r="479" s="14" customFormat="true" ht="15" hidden="false" customHeight="false" outlineLevel="0" collapsed="false">
      <c r="D479" s="20"/>
      <c r="E479" s="20"/>
      <c r="F479" s="20"/>
      <c r="G479" s="20"/>
      <c r="H479" s="20"/>
      <c r="I479" s="20"/>
      <c r="J479" s="20"/>
      <c r="K479" s="20"/>
    </row>
    <row r="480" s="14" customFormat="true" ht="15" hidden="false" customHeight="false" outlineLevel="0" collapsed="false"/>
    <row r="481" s="14" customFormat="true" ht="15" hidden="false" customHeight="false" outlineLevel="0" collapsed="false"/>
    <row r="482" s="14" customFormat="true" ht="15" hidden="false" customHeight="false" outlineLevel="0" collapsed="false"/>
    <row r="483" s="14" customFormat="true" ht="15" hidden="false" customHeight="false" outlineLevel="0" collapsed="false"/>
    <row r="484" s="14" customFormat="true" ht="15" hidden="false" customHeight="false" outlineLevel="0" collapsed="false"/>
    <row r="485" s="14" customFormat="true" ht="15" hidden="false" customHeight="false" outlineLevel="0" collapsed="false"/>
    <row r="486" s="14" customFormat="true" ht="15" hidden="false" customHeight="false" outlineLevel="0" collapsed="false"/>
    <row r="487" s="14" customFormat="true" ht="15" hidden="false" customHeight="false" outlineLevel="0" collapsed="false"/>
    <row r="488" s="14" customFormat="true" ht="15" hidden="false" customHeight="false" outlineLevel="0" collapsed="false"/>
    <row r="489" s="14" customFormat="true" ht="15" hidden="false" customHeight="false" outlineLevel="0" collapsed="false"/>
    <row r="490" s="14" customFormat="true" ht="15" hidden="false" customHeight="false" outlineLevel="0" collapsed="false"/>
    <row r="491" s="14" customFormat="true" ht="17.35" hidden="false" customHeight="false" outlineLevel="0" collapsed="false">
      <c r="A491" s="15"/>
    </row>
    <row r="492" s="14" customFormat="true" ht="15" hidden="false" customHeight="false" outlineLevel="0" collapsed="false"/>
    <row r="493" s="14" customFormat="true" ht="15" hidden="false" customHeight="false" outlineLevel="0" collapsed="false"/>
    <row r="494" s="14" customFormat="true" ht="15" hidden="false" customHeight="false" outlineLevel="0" collapsed="false"/>
    <row r="495" s="14" customFormat="true" ht="15" hidden="false" customHeight="false" outlineLevel="0" collapsed="false">
      <c r="AH495" s="18"/>
    </row>
    <row r="496" s="14" customFormat="true" ht="14.25" hidden="false" customHeight="true" outlineLevel="0" collapsed="false">
      <c r="G496" s="16"/>
      <c r="AH496" s="18"/>
    </row>
    <row r="497" s="14" customFormat="true" ht="21" hidden="false" customHeight="true" outlineLevel="0" collapsed="false">
      <c r="G497" s="16"/>
      <c r="N497" s="19"/>
      <c r="P497" s="18"/>
      <c r="X497" s="18"/>
      <c r="AH497" s="18"/>
    </row>
    <row r="498" s="14" customFormat="true" ht="15" hidden="false" customHeight="false" outlineLevel="0" collapsed="false">
      <c r="N498" s="17"/>
      <c r="O498" s="17"/>
      <c r="P498" s="17"/>
    </row>
    <row r="499" s="14" customFormat="true" ht="15" hidden="false" customHeight="false" outlineLevel="0" collapsed="false">
      <c r="N499" s="17"/>
      <c r="O499" s="17"/>
      <c r="P499" s="17"/>
      <c r="R499" s="24"/>
      <c r="S499" s="17"/>
    </row>
    <row r="500" s="14" customFormat="true" ht="15" hidden="false" customHeight="false" outlineLevel="0" collapsed="false">
      <c r="N500" s="17"/>
      <c r="O500" s="17"/>
      <c r="P500" s="17"/>
      <c r="R500" s="24"/>
      <c r="S500" s="17"/>
    </row>
    <row r="501" s="14" customFormat="true" ht="15" hidden="false" customHeight="false" outlineLevel="0" collapsed="false">
      <c r="N501" s="17"/>
      <c r="O501" s="17"/>
      <c r="P501" s="17"/>
      <c r="R501" s="24"/>
      <c r="S501" s="17"/>
    </row>
    <row r="502" s="14" customFormat="true" ht="15" hidden="false" customHeight="false" outlineLevel="0" collapsed="false">
      <c r="N502" s="17"/>
      <c r="O502" s="17"/>
      <c r="P502" s="17"/>
      <c r="R502" s="24"/>
      <c r="S502" s="17"/>
    </row>
    <row r="503" s="14" customFormat="true" ht="15" hidden="false" customHeight="false" outlineLevel="0" collapsed="false">
      <c r="N503" s="17"/>
      <c r="O503" s="17"/>
      <c r="P503" s="17"/>
      <c r="R503" s="24"/>
      <c r="S503" s="17"/>
    </row>
    <row r="504" s="14" customFormat="true" ht="15" hidden="false" customHeight="false" outlineLevel="0" collapsed="false">
      <c r="N504" s="17"/>
      <c r="O504" s="17"/>
      <c r="P504" s="17"/>
      <c r="R504" s="24"/>
      <c r="S504" s="17"/>
    </row>
    <row r="505" s="14" customFormat="true" ht="15" hidden="false" customHeight="false" outlineLevel="0" collapsed="false">
      <c r="N505" s="17"/>
      <c r="O505" s="17"/>
      <c r="P505" s="17"/>
      <c r="R505" s="24"/>
      <c r="S505" s="17"/>
    </row>
    <row r="506" s="14" customFormat="true" ht="15" hidden="false" customHeight="false" outlineLevel="0" collapsed="false">
      <c r="N506" s="17"/>
      <c r="O506" s="17"/>
      <c r="P506" s="17"/>
      <c r="R506" s="24"/>
      <c r="S506" s="17"/>
    </row>
    <row r="507" s="14" customFormat="true" ht="15" hidden="false" customHeight="false" outlineLevel="0" collapsed="false"/>
    <row r="508" s="14" customFormat="true" ht="15" hidden="false" customHeight="false" outlineLevel="0" collapsed="false"/>
    <row r="509" s="14" customFormat="true" ht="15" hidden="false" customHeight="false" outlineLevel="0" collapsed="false"/>
    <row r="510" s="14" customFormat="true" ht="15" hidden="false" customHeight="false" outlineLevel="0" collapsed="false"/>
    <row r="511" s="14" customFormat="true" ht="15" hidden="false" customHeight="false" outlineLevel="0" collapsed="false"/>
    <row r="512" s="14" customFormat="true" ht="12" hidden="false" customHeight="true" outlineLevel="0" collapsed="false">
      <c r="E512" s="18"/>
      <c r="Y512" s="28"/>
      <c r="Z512" s="28"/>
      <c r="AA512" s="28"/>
      <c r="AB512" s="28"/>
      <c r="AC512" s="28"/>
      <c r="AD512" s="28"/>
      <c r="AE512" s="28"/>
      <c r="AF512" s="28"/>
      <c r="AG512" s="28"/>
      <c r="AH512" s="28"/>
      <c r="AI512" s="28"/>
      <c r="AJ512" s="28"/>
      <c r="AK512" s="28"/>
      <c r="AL512" s="29"/>
      <c r="AM512" s="29"/>
      <c r="AN512" s="29"/>
      <c r="AO512" s="29"/>
      <c r="AP512" s="29"/>
    </row>
    <row r="513" s="14" customFormat="true" ht="12" hidden="false" customHeight="true" outlineLevel="0" collapsed="false">
      <c r="E513" s="18"/>
      <c r="Y513" s="28"/>
      <c r="Z513" s="28"/>
      <c r="AA513" s="28"/>
      <c r="AB513" s="28"/>
      <c r="AC513" s="28"/>
      <c r="AD513" s="28"/>
      <c r="AE513" s="28"/>
      <c r="AF513" s="28"/>
      <c r="AG513" s="28"/>
      <c r="AH513" s="28"/>
      <c r="AI513" s="28"/>
      <c r="AJ513" s="28"/>
      <c r="AK513" s="28"/>
      <c r="AL513" s="29"/>
      <c r="AM513" s="29"/>
      <c r="AN513" s="29"/>
      <c r="AO513" s="29"/>
      <c r="AP513" s="29"/>
    </row>
    <row r="514" s="14" customFormat="true" ht="16.5" hidden="false" customHeight="true" outlineLevel="0" collapsed="false">
      <c r="Y514" s="28"/>
      <c r="Z514" s="28"/>
      <c r="AA514" s="28"/>
      <c r="AB514" s="28"/>
      <c r="AC514" s="28"/>
      <c r="AD514" s="28"/>
      <c r="AE514" s="28"/>
      <c r="AF514" s="28"/>
      <c r="AG514" s="28"/>
      <c r="AH514" s="28"/>
      <c r="AI514" s="28"/>
      <c r="AJ514" s="28"/>
      <c r="AK514" s="28"/>
    </row>
    <row r="515" s="14" customFormat="true" ht="19.5" hidden="false" customHeight="true" outlineLevel="0" collapsed="false">
      <c r="P515" s="21"/>
    </row>
    <row r="516" s="14" customFormat="true" ht="15" hidden="false" customHeight="false" outlineLevel="0" collapsed="false">
      <c r="G516" s="20"/>
      <c r="H516" s="20"/>
      <c r="I516" s="20"/>
      <c r="J516" s="20"/>
      <c r="K516" s="20"/>
      <c r="L516" s="20"/>
      <c r="M516" s="20"/>
      <c r="N516" s="20"/>
      <c r="Y516" s="27"/>
      <c r="Z516" s="27"/>
      <c r="AA516" s="27"/>
      <c r="AB516" s="27"/>
      <c r="AC516" s="27"/>
      <c r="AD516" s="27"/>
      <c r="AE516" s="27"/>
      <c r="AF516" s="27"/>
      <c r="AG516" s="27"/>
      <c r="AH516" s="27"/>
    </row>
    <row r="517" s="14" customFormat="true" ht="15" hidden="false" customHeight="false" outlineLevel="0" collapsed="false">
      <c r="Y517" s="27"/>
      <c r="Z517" s="27"/>
      <c r="AA517" s="27"/>
      <c r="AB517" s="27"/>
      <c r="AC517" s="27"/>
      <c r="AD517" s="27"/>
      <c r="AE517" s="27"/>
      <c r="AF517" s="27"/>
      <c r="AG517" s="27"/>
      <c r="AH517" s="27"/>
    </row>
    <row r="518" s="14" customFormat="true" ht="15" hidden="false" customHeight="false" outlineLevel="0" collapsed="false"/>
    <row r="519" s="14" customFormat="true" ht="15" hidden="false" customHeight="false" outlineLevel="0" collapsed="false"/>
    <row r="520" s="14" customFormat="true" ht="15" hidden="false" customHeight="false" outlineLevel="0" collapsed="false"/>
    <row r="521" s="14" customFormat="true" ht="15" hidden="false" customHeight="false" outlineLevel="0" collapsed="false"/>
    <row r="522" s="14" customFormat="true" ht="15" hidden="false" customHeight="false" outlineLevel="0" collapsed="false"/>
    <row r="523" s="14" customFormat="true" ht="15" hidden="false" customHeight="false" outlineLevel="0" collapsed="false"/>
    <row r="524" s="14" customFormat="true" ht="15" hidden="false" customHeight="false" outlineLevel="0" collapsed="false"/>
    <row r="525" s="14" customFormat="true" ht="15" hidden="false" customHeight="false" outlineLevel="0" collapsed="false"/>
    <row r="526" s="14" customFormat="true" ht="15" hidden="false" customHeight="false" outlineLevel="0" collapsed="false"/>
    <row r="527" s="14" customFormat="true" ht="15" hidden="false" customHeight="false" outlineLevel="0" collapsed="false"/>
    <row r="528" s="14" customFormat="true" ht="15" hidden="false" customHeight="false" outlineLevel="0" collapsed="false"/>
    <row r="529" s="14" customFormat="true" ht="15" hidden="false" customHeight="false" outlineLevel="0" collapsed="false"/>
    <row r="530" s="14" customFormat="true" ht="15" hidden="false" customHeight="false" outlineLevel="0" collapsed="false">
      <c r="AH530" s="18"/>
    </row>
    <row r="531" s="14" customFormat="true" ht="14.25" hidden="false" customHeight="true" outlineLevel="0" collapsed="false">
      <c r="G531" s="16"/>
      <c r="AH531" s="18"/>
    </row>
    <row r="532" s="14" customFormat="true" ht="27" hidden="false" customHeight="true" outlineLevel="0" collapsed="false">
      <c r="G532" s="16"/>
      <c r="N532" s="19"/>
      <c r="P532" s="18"/>
      <c r="X532" s="18"/>
      <c r="AH532" s="18"/>
    </row>
    <row r="533" s="14" customFormat="true" ht="15" hidden="false" customHeight="false" outlineLevel="0" collapsed="false">
      <c r="N533" s="17"/>
      <c r="O533" s="17"/>
      <c r="P533" s="17"/>
    </row>
    <row r="534" s="14" customFormat="true" ht="15" hidden="false" customHeight="false" outlineLevel="0" collapsed="false">
      <c r="N534" s="17"/>
      <c r="O534" s="17"/>
      <c r="P534" s="17"/>
      <c r="R534" s="24"/>
      <c r="S534" s="17"/>
    </row>
    <row r="535" s="14" customFormat="true" ht="15" hidden="false" customHeight="false" outlineLevel="0" collapsed="false">
      <c r="N535" s="17"/>
      <c r="O535" s="17"/>
      <c r="P535" s="17"/>
      <c r="R535" s="24"/>
      <c r="S535" s="17"/>
    </row>
    <row r="536" s="14" customFormat="true" ht="15" hidden="false" customHeight="false" outlineLevel="0" collapsed="false">
      <c r="N536" s="17"/>
      <c r="O536" s="17"/>
      <c r="P536" s="17"/>
      <c r="R536" s="24"/>
      <c r="S536" s="17"/>
    </row>
    <row r="537" s="14" customFormat="true" ht="15" hidden="false" customHeight="false" outlineLevel="0" collapsed="false">
      <c r="N537" s="17"/>
      <c r="O537" s="17"/>
      <c r="P537" s="17"/>
      <c r="R537" s="24"/>
      <c r="S537" s="17"/>
    </row>
    <row r="538" s="14" customFormat="true" ht="15" hidden="false" customHeight="false" outlineLevel="0" collapsed="false">
      <c r="N538" s="17"/>
      <c r="O538" s="17"/>
      <c r="P538" s="17"/>
      <c r="R538" s="24"/>
      <c r="S538" s="17"/>
    </row>
    <row r="539" s="14" customFormat="true" ht="15" hidden="false" customHeight="false" outlineLevel="0" collapsed="false">
      <c r="N539" s="17"/>
      <c r="O539" s="17"/>
      <c r="P539" s="17"/>
      <c r="R539" s="24"/>
      <c r="S539" s="17"/>
    </row>
    <row r="540" s="14" customFormat="true" ht="17.25" hidden="false" customHeight="true" outlineLevel="0" collapsed="false">
      <c r="N540" s="17"/>
      <c r="O540" s="17"/>
      <c r="P540" s="17"/>
      <c r="R540" s="24"/>
      <c r="S540" s="17"/>
    </row>
    <row r="541" s="14" customFormat="true" ht="15" hidden="false" customHeight="false" outlineLevel="0" collapsed="false">
      <c r="N541" s="17"/>
      <c r="O541" s="17"/>
      <c r="P541" s="17"/>
      <c r="R541" s="24"/>
      <c r="S541" s="17"/>
    </row>
    <row r="542" s="14" customFormat="true" ht="15" hidden="false" customHeight="false" outlineLevel="0" collapsed="false"/>
    <row r="543" s="14" customFormat="true" ht="15" hidden="false" customHeight="false" outlineLevel="0" collapsed="false"/>
    <row r="544" s="14" customFormat="true" ht="15" hidden="false" customHeight="false" outlineLevel="0" collapsed="false"/>
    <row r="545" s="14" customFormat="true" ht="15" hidden="false" customHeight="false" outlineLevel="0" collapsed="false"/>
    <row r="546" s="14" customFormat="true" ht="14.25" hidden="false" customHeight="true" outlineLevel="0" collapsed="false">
      <c r="D546" s="18"/>
    </row>
    <row r="547" s="14" customFormat="true" ht="15" hidden="false" customHeight="false" outlineLevel="0" collapsed="false">
      <c r="D547" s="18"/>
    </row>
    <row r="548" s="14" customFormat="true" ht="15" hidden="false" customHeight="false" outlineLevel="0" collapsed="false">
      <c r="C548" s="17"/>
      <c r="D548" s="17"/>
      <c r="W548" s="29"/>
      <c r="X548" s="29"/>
      <c r="Y548" s="29"/>
      <c r="Z548" s="29"/>
      <c r="AA548" s="29"/>
      <c r="AB548" s="29"/>
      <c r="AC548" s="29"/>
      <c r="AD548" s="29"/>
      <c r="AE548" s="29"/>
      <c r="AF548" s="29"/>
      <c r="AG548" s="29"/>
      <c r="AH548" s="29"/>
      <c r="AI548" s="29"/>
      <c r="AJ548" s="29"/>
      <c r="AK548" s="29"/>
    </row>
    <row r="549" s="14" customFormat="true" ht="15" hidden="false" customHeight="false" outlineLevel="0" collapsed="false">
      <c r="W549" s="29"/>
      <c r="X549" s="29"/>
      <c r="Y549" s="29"/>
      <c r="Z549" s="29"/>
      <c r="AA549" s="29"/>
      <c r="AB549" s="29"/>
      <c r="AC549" s="29"/>
      <c r="AD549" s="29"/>
      <c r="AE549" s="29"/>
      <c r="AF549" s="29"/>
      <c r="AG549" s="29"/>
      <c r="AH549" s="29"/>
      <c r="AI549" s="29"/>
      <c r="AJ549" s="29"/>
      <c r="AK549" s="29"/>
    </row>
    <row r="550" s="14" customFormat="true" ht="24.45" hidden="false" customHeight="false" outlineLevel="0" collapsed="false">
      <c r="N550" s="21"/>
      <c r="W550" s="29"/>
      <c r="X550" s="29"/>
      <c r="Y550" s="29"/>
      <c r="Z550" s="29"/>
      <c r="AA550" s="29"/>
      <c r="AB550" s="29"/>
      <c r="AC550" s="29"/>
      <c r="AD550" s="29"/>
      <c r="AE550" s="29"/>
      <c r="AF550" s="29"/>
      <c r="AG550" s="29"/>
      <c r="AH550" s="29"/>
      <c r="AI550" s="29"/>
      <c r="AJ550" s="29"/>
      <c r="AK550" s="29"/>
    </row>
    <row r="551" s="14" customFormat="true" ht="15" hidden="false" customHeight="false" outlineLevel="0" collapsed="false">
      <c r="F551" s="20"/>
      <c r="G551" s="20"/>
      <c r="H551" s="20"/>
      <c r="I551" s="20"/>
      <c r="J551" s="20"/>
      <c r="K551" s="20"/>
      <c r="L551" s="20"/>
      <c r="M551" s="20"/>
    </row>
    <row r="552" s="14" customFormat="true" ht="15" hidden="false" customHeight="false" outlineLevel="0" collapsed="false">
      <c r="Y552" s="27"/>
      <c r="Z552" s="27"/>
      <c r="AA552" s="27"/>
      <c r="AB552" s="27"/>
      <c r="AC552" s="27"/>
      <c r="AD552" s="27"/>
      <c r="AE552" s="27"/>
      <c r="AF552" s="27"/>
      <c r="AG552" s="27"/>
      <c r="AH552" s="27"/>
      <c r="AI552" s="30"/>
    </row>
    <row r="553" s="14" customFormat="true" ht="15" hidden="false" customHeight="false" outlineLevel="0" collapsed="false">
      <c r="Y553" s="27"/>
      <c r="Z553" s="27"/>
      <c r="AA553" s="27"/>
      <c r="AB553" s="27"/>
      <c r="AC553" s="27"/>
      <c r="AD553" s="27"/>
      <c r="AE553" s="27"/>
      <c r="AF553" s="27"/>
      <c r="AG553" s="27"/>
      <c r="AH553" s="27"/>
      <c r="AI553" s="30"/>
    </row>
    <row r="554" s="14" customFormat="true" ht="15" hidden="false" customHeight="false" outlineLevel="0" collapsed="false"/>
    <row r="555" s="14" customFormat="true" ht="15" hidden="false" customHeight="false" outlineLevel="0" collapsed="false"/>
    <row r="556" s="14" customFormat="true" ht="15" hidden="false" customHeight="false" outlineLevel="0" collapsed="false"/>
    <row r="557" s="14" customFormat="true" ht="15" hidden="false" customHeight="false" outlineLevel="0" collapsed="false"/>
    <row r="558" s="14" customFormat="true" ht="15" hidden="false" customHeight="false" outlineLevel="0" collapsed="false">
      <c r="AA558" s="29"/>
      <c r="AB558" s="29"/>
    </row>
    <row r="559" s="14" customFormat="true" ht="15" hidden="false" customHeight="false" outlineLevel="0" collapsed="false"/>
    <row r="560" s="14" customFormat="true" ht="15" hidden="false" customHeight="false" outlineLevel="0" collapsed="false"/>
    <row r="561" s="14" customFormat="true" ht="15" hidden="false" customHeight="false" outlineLevel="0" collapsed="false"/>
    <row r="562" s="14" customFormat="true" ht="15" hidden="false" customHeight="false" outlineLevel="0" collapsed="false"/>
    <row r="563" s="14" customFormat="true" ht="15" hidden="false" customHeight="false" outlineLevel="0" collapsed="false"/>
    <row r="564" s="14" customFormat="true" ht="15" hidden="false" customHeight="false" outlineLevel="0" collapsed="false"/>
    <row r="565" s="14" customFormat="true" ht="15" hidden="false" customHeight="false" outlineLevel="0" collapsed="false"/>
    <row r="566" s="14" customFormat="true" ht="15" hidden="false" customHeight="false" outlineLevel="0" collapsed="false"/>
    <row r="567" s="14" customFormat="true" ht="15" hidden="false" customHeight="false" outlineLevel="0" collapsed="false"/>
    <row r="568" s="14" customFormat="true" ht="15" hidden="false" customHeight="false" outlineLevel="0" collapsed="false"/>
    <row r="569" s="14" customFormat="true" ht="15" hidden="false" customHeight="false" outlineLevel="0" collapsed="false"/>
    <row r="570" s="14" customFormat="true" ht="15" hidden="false" customHeight="false" outlineLevel="0" collapsed="false"/>
    <row r="571" s="14" customFormat="true" ht="15" hidden="false" customHeight="false" outlineLevel="0" collapsed="false"/>
    <row r="572" s="14" customFormat="true" ht="15" hidden="false" customHeight="false" outlineLevel="0" collapsed="false"/>
    <row r="573" s="14" customFormat="true" ht="15" hidden="false" customHeight="false" outlineLevel="0" collapsed="false"/>
    <row r="574" s="14" customFormat="true" ht="15" hidden="false" customHeight="false" outlineLevel="0" collapsed="false"/>
    <row r="575" s="14" customFormat="true" ht="15" hidden="false" customHeight="false" outlineLevel="0" collapsed="false"/>
    <row r="576" s="14" customFormat="true" ht="15" hidden="false" customHeight="false" outlineLevel="0" collapsed="false"/>
    <row r="577" s="14" customFormat="true" ht="15" hidden="false" customHeight="false" outlineLevel="0" collapsed="false"/>
    <row r="578" s="14" customFormat="true" ht="15" hidden="false" customHeight="false" outlineLevel="0" collapsed="false"/>
    <row r="579" s="14" customFormat="true" ht="15" hidden="false" customHeight="false" outlineLevel="0" collapsed="false"/>
    <row r="580" s="14" customFormat="true" ht="15" hidden="false" customHeight="false" outlineLevel="0" collapsed="false"/>
    <row r="581" s="14" customFormat="true" ht="15" hidden="false" customHeight="false" outlineLevel="0" collapsed="false"/>
    <row r="582" s="14" customFormat="true" ht="15" hidden="false" customHeight="false" outlineLevel="0" collapsed="false"/>
    <row r="583" s="14" customFormat="true" ht="15" hidden="false" customHeight="false" outlineLevel="0" collapsed="false"/>
    <row r="584" s="14" customFormat="true" ht="15" hidden="false" customHeight="false" outlineLevel="0" collapsed="false"/>
    <row r="585" s="14" customFormat="true" ht="15" hidden="false" customHeight="false" outlineLevel="0" collapsed="false"/>
    <row r="586" s="14" customFormat="true" ht="15" hidden="false" customHeight="false" outlineLevel="0" collapsed="false"/>
    <row r="587" s="14" customFormat="true" ht="15" hidden="false" customHeight="false" outlineLevel="0" collapsed="false"/>
    <row r="588" s="14" customFormat="true" ht="15" hidden="false" customHeight="false" outlineLevel="0" collapsed="false"/>
    <row r="589" s="14" customFormat="true" ht="15" hidden="false" customHeight="false" outlineLevel="0" collapsed="false"/>
    <row r="590" s="14" customFormat="true" ht="17.35" hidden="false" customHeight="false" outlineLevel="0" collapsed="false">
      <c r="A590" s="15"/>
    </row>
    <row r="591" s="14" customFormat="true" ht="15" hidden="false" customHeight="false" outlineLevel="0" collapsed="false"/>
    <row r="592" s="14" customFormat="true" ht="15" hidden="false" customHeight="false" outlineLevel="0" collapsed="false"/>
    <row r="593" s="14" customFormat="true" ht="15" hidden="false" customHeight="false" outlineLevel="0" collapsed="false"/>
    <row r="594" s="14" customFormat="true" ht="15" hidden="false" customHeight="false" outlineLevel="0" collapsed="false"/>
    <row r="595" s="14" customFormat="true" ht="15" hidden="false" customHeight="false" outlineLevel="0" collapsed="false"/>
    <row r="596" s="14" customFormat="true" ht="15" hidden="false" customHeight="false" outlineLevel="0" collapsed="false"/>
    <row r="597" s="14" customFormat="true" ht="15" hidden="false" customHeight="false" outlineLevel="0" collapsed="false"/>
    <row r="598" s="14" customFormat="true" ht="15" hidden="false" customHeight="false" outlineLevel="0" collapsed="false"/>
    <row r="599" s="14" customFormat="true" ht="15" hidden="false" customHeight="false" outlineLevel="0" collapsed="false"/>
    <row r="600" s="14" customFormat="true" ht="15" hidden="false" customHeight="false" outlineLevel="0" collapsed="false"/>
    <row r="601" s="14" customFormat="true" ht="15" hidden="false" customHeight="false" outlineLevel="0" collapsed="false">
      <c r="F601" s="19"/>
      <c r="H601" s="18"/>
    </row>
    <row r="602" s="14" customFormat="true" ht="15" hidden="false" customHeight="false" outlineLevel="0" collapsed="false">
      <c r="F602" s="17"/>
      <c r="G602" s="17"/>
      <c r="H602" s="17"/>
    </row>
    <row r="603" s="14" customFormat="true" ht="15" hidden="false" customHeight="false" outlineLevel="0" collapsed="false">
      <c r="F603" s="17"/>
      <c r="G603" s="17"/>
      <c r="H603" s="17"/>
      <c r="J603" s="17"/>
      <c r="K603" s="17"/>
    </row>
    <row r="604" s="14" customFormat="true" ht="19.5" hidden="false" customHeight="true" outlineLevel="0" collapsed="false">
      <c r="A604" s="31"/>
      <c r="F604" s="17"/>
      <c r="G604" s="17"/>
      <c r="H604" s="17"/>
      <c r="J604" s="17"/>
      <c r="K604" s="17"/>
    </row>
    <row r="605" s="14" customFormat="true" ht="15" hidden="false" customHeight="false" outlineLevel="0" collapsed="false">
      <c r="A605" s="23"/>
      <c r="F605" s="17"/>
      <c r="G605" s="17"/>
      <c r="H605" s="17"/>
      <c r="J605" s="17"/>
      <c r="K605" s="17"/>
    </row>
    <row r="606" s="14" customFormat="true" ht="15" hidden="false" customHeight="false" outlineLevel="0" collapsed="false">
      <c r="F606" s="17"/>
      <c r="G606" s="17"/>
      <c r="H606" s="17"/>
      <c r="J606" s="17"/>
      <c r="K606" s="17"/>
    </row>
    <row r="607" s="14" customFormat="true" ht="15" hidden="false" customHeight="false" outlineLevel="0" collapsed="false">
      <c r="F607" s="17"/>
      <c r="G607" s="17"/>
      <c r="H607" s="17"/>
      <c r="J607" s="17"/>
      <c r="K607" s="17"/>
    </row>
    <row r="608" s="14" customFormat="true" ht="15" hidden="false" customHeight="false" outlineLevel="0" collapsed="false">
      <c r="F608" s="17"/>
      <c r="G608" s="17"/>
      <c r="H608" s="17"/>
      <c r="J608" s="17"/>
      <c r="K608" s="17"/>
    </row>
    <row r="609" s="14" customFormat="true" ht="15" hidden="false" customHeight="false" outlineLevel="0" collapsed="false">
      <c r="F609" s="17"/>
      <c r="G609" s="17"/>
      <c r="H609" s="17"/>
      <c r="J609" s="17"/>
      <c r="K609" s="17"/>
    </row>
    <row r="610" s="14" customFormat="true" ht="15" hidden="false" customHeight="false" outlineLevel="0" collapsed="false">
      <c r="F610" s="17"/>
      <c r="G610" s="17"/>
      <c r="H610" s="17"/>
      <c r="J610" s="17"/>
      <c r="K610" s="17"/>
    </row>
    <row r="611" s="14" customFormat="true" ht="15" hidden="false" customHeight="false" outlineLevel="0" collapsed="false"/>
    <row r="612" s="14" customFormat="true" ht="15" hidden="false" customHeight="false" outlineLevel="0" collapsed="false"/>
    <row r="613" s="14" customFormat="true" ht="14.25" hidden="false" customHeight="true" outlineLevel="0" collapsed="false">
      <c r="C613" s="16"/>
      <c r="R613" s="16"/>
    </row>
    <row r="614" s="14" customFormat="true" ht="15" hidden="false" customHeight="false" outlineLevel="0" collapsed="false">
      <c r="C614" s="16"/>
      <c r="R614" s="16"/>
    </row>
    <row r="615" s="14" customFormat="true" ht="14.25" hidden="false" customHeight="true" outlineLevel="0" collapsed="false"/>
    <row r="616" s="14" customFormat="true" ht="15" hidden="false" customHeight="false" outlineLevel="0" collapsed="false"/>
    <row r="617" s="14" customFormat="true" ht="15" hidden="false" customHeight="false" outlineLevel="0" collapsed="false"/>
    <row r="618" s="14" customFormat="true" ht="15" hidden="false" customHeight="false" outlineLevel="0" collapsed="false"/>
    <row r="619" s="14" customFormat="true" ht="15" hidden="false" customHeight="false" outlineLevel="0" collapsed="false"/>
    <row r="620" s="14" customFormat="true" ht="15" hidden="false" customHeight="false" outlineLevel="0" collapsed="false"/>
    <row r="621" s="14" customFormat="true" ht="15" hidden="false" customHeight="false" outlineLevel="0" collapsed="false"/>
    <row r="622" s="14" customFormat="true" ht="15" hidden="false" customHeight="false" outlineLevel="0" collapsed="false"/>
    <row r="623" s="14" customFormat="true" ht="15" hidden="false" customHeight="false" outlineLevel="0" collapsed="false"/>
    <row r="624" s="14" customFormat="true" ht="15" hidden="false" customHeight="false" outlineLevel="0" collapsed="false"/>
    <row r="625" s="14" customFormat="true" ht="15" hidden="false" customHeight="false" outlineLevel="0" collapsed="false"/>
    <row r="626" s="14" customFormat="true" ht="15" hidden="false" customHeight="false" outlineLevel="0" collapsed="false">
      <c r="AB626" s="18"/>
    </row>
    <row r="627" s="14" customFormat="true" ht="14.25" hidden="false" customHeight="true" outlineLevel="0" collapsed="false">
      <c r="C627" s="16"/>
      <c r="AB627" s="18"/>
    </row>
    <row r="628" s="14" customFormat="true" ht="27.75" hidden="false" customHeight="true" outlineLevel="0" collapsed="false">
      <c r="C628" s="16"/>
      <c r="I628" s="19"/>
      <c r="K628" s="18"/>
      <c r="S628" s="18"/>
      <c r="AB628" s="18"/>
    </row>
    <row r="629" s="14" customFormat="true" ht="15" hidden="false" customHeight="false" outlineLevel="0" collapsed="false">
      <c r="I629" s="17"/>
      <c r="J629" s="17"/>
      <c r="K629" s="17"/>
    </row>
    <row r="630" s="14" customFormat="true" ht="15" hidden="false" customHeight="false" outlineLevel="0" collapsed="false">
      <c r="I630" s="17"/>
      <c r="J630" s="17"/>
      <c r="K630" s="17"/>
      <c r="M630" s="17"/>
      <c r="N630" s="17"/>
    </row>
    <row r="631" s="14" customFormat="true" ht="15" hidden="false" customHeight="false" outlineLevel="0" collapsed="false">
      <c r="I631" s="17"/>
      <c r="J631" s="17"/>
      <c r="K631" s="17"/>
      <c r="M631" s="17"/>
      <c r="N631" s="17"/>
    </row>
    <row r="632" s="14" customFormat="true" ht="15" hidden="false" customHeight="false" outlineLevel="0" collapsed="false">
      <c r="I632" s="17"/>
      <c r="J632" s="17"/>
      <c r="K632" s="17"/>
      <c r="M632" s="17"/>
      <c r="N632" s="17"/>
    </row>
    <row r="633" s="14" customFormat="true" ht="15" hidden="false" customHeight="false" outlineLevel="0" collapsed="false">
      <c r="I633" s="17"/>
      <c r="J633" s="17"/>
      <c r="K633" s="17"/>
      <c r="M633" s="17"/>
      <c r="N633" s="17"/>
    </row>
    <row r="634" s="14" customFormat="true" ht="15" hidden="false" customHeight="false" outlineLevel="0" collapsed="false">
      <c r="I634" s="17"/>
      <c r="J634" s="17"/>
      <c r="K634" s="17"/>
      <c r="M634" s="17"/>
      <c r="N634" s="17"/>
    </row>
    <row r="635" s="14" customFormat="true" ht="15" hidden="false" customHeight="false" outlineLevel="0" collapsed="false">
      <c r="I635" s="17"/>
      <c r="J635" s="17"/>
      <c r="K635" s="17"/>
      <c r="M635" s="17"/>
      <c r="N635" s="17"/>
    </row>
    <row r="636" s="14" customFormat="true" ht="15" hidden="false" customHeight="false" outlineLevel="0" collapsed="false">
      <c r="I636" s="17"/>
      <c r="J636" s="17"/>
      <c r="K636" s="17"/>
      <c r="M636" s="17"/>
      <c r="N636" s="17"/>
    </row>
    <row r="637" s="14" customFormat="true" ht="15" hidden="false" customHeight="false" outlineLevel="0" collapsed="false">
      <c r="I637" s="17"/>
      <c r="J637" s="17"/>
      <c r="K637" s="17"/>
      <c r="M637" s="17"/>
      <c r="N637" s="17"/>
    </row>
    <row r="638" s="14" customFormat="true" ht="15" hidden="false" customHeight="false" outlineLevel="0" collapsed="false"/>
    <row r="639" s="14" customFormat="true" ht="15" hidden="false" customHeight="false" outlineLevel="0" collapsed="false"/>
    <row r="640" s="14" customFormat="true" ht="15" hidden="false" customHeight="false" outlineLevel="0" collapsed="false"/>
    <row r="641" s="14" customFormat="true" ht="15" hidden="false" customHeight="false" outlineLevel="0" collapsed="false"/>
    <row r="642" s="14" customFormat="true" ht="21.75" hidden="false" customHeight="true" outlineLevel="0" collapsed="false">
      <c r="D642" s="18"/>
    </row>
    <row r="643" s="14" customFormat="true" ht="15" hidden="false" customHeight="false" outlineLevel="0" collapsed="false">
      <c r="D643" s="18"/>
    </row>
    <row r="644" s="14" customFormat="true" ht="15" hidden="false" customHeight="false" outlineLevel="0" collapsed="false">
      <c r="C644" s="17"/>
      <c r="D644" s="17"/>
      <c r="X644" s="27"/>
      <c r="Y644" s="27"/>
      <c r="Z644" s="27"/>
      <c r="AA644" s="27"/>
      <c r="AB644" s="27"/>
      <c r="AC644" s="27"/>
      <c r="AD644" s="27"/>
      <c r="AE644" s="27"/>
      <c r="AF644" s="27"/>
      <c r="AG644" s="27"/>
      <c r="AH644" s="27"/>
      <c r="AI644" s="27"/>
      <c r="AJ644" s="27"/>
      <c r="AK644" s="27"/>
      <c r="AL644" s="27"/>
      <c r="AM644" s="27"/>
    </row>
    <row r="645" s="14" customFormat="true" ht="15" hidden="false" customHeight="false" outlineLevel="0" collapsed="false">
      <c r="X645" s="27"/>
      <c r="Y645" s="27"/>
      <c r="Z645" s="27"/>
      <c r="AA645" s="27"/>
      <c r="AB645" s="27"/>
      <c r="AC645" s="27"/>
      <c r="AD645" s="27"/>
      <c r="AE645" s="27"/>
      <c r="AF645" s="27"/>
      <c r="AG645" s="27"/>
      <c r="AH645" s="27"/>
      <c r="AI645" s="27"/>
      <c r="AJ645" s="27"/>
      <c r="AK645" s="27"/>
      <c r="AL645" s="27"/>
      <c r="AM645" s="27"/>
    </row>
    <row r="646" s="14" customFormat="true" ht="24.45" hidden="false" customHeight="false" outlineLevel="0" collapsed="false">
      <c r="O646" s="21"/>
    </row>
    <row r="647" s="14" customFormat="true" ht="15" hidden="false" customHeight="false" outlineLevel="0" collapsed="false">
      <c r="F647" s="20"/>
      <c r="G647" s="20"/>
      <c r="H647" s="20"/>
      <c r="I647" s="20"/>
      <c r="J647" s="20"/>
      <c r="K647" s="20"/>
      <c r="L647" s="20"/>
      <c r="M647" s="20"/>
    </row>
    <row r="648" s="14" customFormat="true" ht="15" hidden="false" customHeight="false" outlineLevel="0" collapsed="false"/>
    <row r="649" s="14" customFormat="true" ht="15" hidden="false" customHeight="false" outlineLevel="0" collapsed="false"/>
    <row r="650" s="14" customFormat="true" ht="15" hidden="false" customHeight="false" outlineLevel="0" collapsed="false"/>
    <row r="651" s="14" customFormat="true" ht="15" hidden="false" customHeight="false" outlineLevel="0" collapsed="false"/>
    <row r="652" s="14" customFormat="true" ht="17.35" hidden="false" customHeight="false" outlineLevel="0" collapsed="false">
      <c r="A652" s="15"/>
    </row>
    <row r="653" s="14" customFormat="true" ht="15" hidden="false" customHeight="false" outlineLevel="0" collapsed="false"/>
    <row r="654" s="14" customFormat="true" ht="15" hidden="false" customHeight="false" outlineLevel="0" collapsed="false"/>
    <row r="655" s="14" customFormat="true" ht="15" hidden="false" customHeight="false" outlineLevel="0" collapsed="false"/>
    <row r="656" s="14" customFormat="true" ht="15" hidden="false" customHeight="false" outlineLevel="0" collapsed="false"/>
    <row r="657" s="14" customFormat="true" ht="15" hidden="false" customHeight="false" outlineLevel="0" collapsed="false"/>
    <row r="658" s="14" customFormat="true" ht="15" hidden="false" customHeight="false" outlineLevel="0" collapsed="false"/>
    <row r="659" s="14" customFormat="true" ht="15" hidden="false" customHeight="false" outlineLevel="0" collapsed="false"/>
    <row r="660" s="14" customFormat="true" ht="15" hidden="false" customHeight="false" outlineLevel="0" collapsed="false"/>
    <row r="661" s="14" customFormat="true" ht="15" hidden="false" customHeight="false" outlineLevel="0" collapsed="false"/>
    <row r="662" s="14" customFormat="true" ht="15" hidden="false" customHeight="false" outlineLevel="0" collapsed="false"/>
    <row r="663" s="14" customFormat="true" ht="15" hidden="false" customHeight="false" outlineLevel="0" collapsed="false"/>
    <row r="664" s="14" customFormat="true" ht="15" hidden="false" customHeight="false" outlineLevel="0" collapsed="false"/>
    <row r="665" s="14" customFormat="true" ht="15" hidden="false" customHeight="false" outlineLevel="0" collapsed="false">
      <c r="C665" s="16"/>
      <c r="R665" s="16"/>
    </row>
    <row r="666" s="14" customFormat="true" ht="15" hidden="false" customHeight="false" outlineLevel="0" collapsed="false">
      <c r="C666" s="16"/>
      <c r="R666" s="16"/>
    </row>
    <row r="667" s="14" customFormat="true" ht="15" hidden="false" customHeight="false" outlineLevel="0" collapsed="false"/>
    <row r="668" s="14" customFormat="true" ht="15" hidden="false" customHeight="false" outlineLevel="0" collapsed="false"/>
    <row r="669" s="14" customFormat="true" ht="15" hidden="false" customHeight="false" outlineLevel="0" collapsed="false"/>
    <row r="670" s="14" customFormat="true" ht="15" hidden="false" customHeight="false" outlineLevel="0" collapsed="false"/>
    <row r="671" s="14" customFormat="true" ht="15" hidden="false" customHeight="false" outlineLevel="0" collapsed="false"/>
    <row r="672" s="14" customFormat="true" ht="15" hidden="false" customHeight="false" outlineLevel="0" collapsed="false"/>
    <row r="673" s="14" customFormat="true" ht="15" hidden="false" customHeight="false" outlineLevel="0" collapsed="false"/>
    <row r="674" s="14" customFormat="true" ht="15" hidden="false" customHeight="false" outlineLevel="0" collapsed="false"/>
    <row r="675" s="14" customFormat="true" ht="15" hidden="false" customHeight="false" outlineLevel="0" collapsed="false"/>
    <row r="676" s="14" customFormat="true" ht="15" hidden="false" customHeight="false" outlineLevel="0" collapsed="false"/>
    <row r="677" s="14" customFormat="true" ht="15" hidden="false" customHeight="false" outlineLevel="0" collapsed="false"/>
    <row r="678" s="14" customFormat="true" ht="15" hidden="false" customHeight="false" outlineLevel="0" collapsed="false"/>
    <row r="679" s="14" customFormat="true" ht="15" hidden="false" customHeight="false" outlineLevel="0" collapsed="false">
      <c r="C679" s="18"/>
    </row>
    <row r="680" s="14" customFormat="true" ht="15" hidden="false" customHeight="false" outlineLevel="0" collapsed="false">
      <c r="A680" s="17"/>
      <c r="B680" s="17"/>
      <c r="C680" s="17"/>
    </row>
    <row r="681" s="14" customFormat="true" ht="15" hidden="false" customHeight="false" outlineLevel="0" collapsed="false">
      <c r="A681" s="17"/>
      <c r="B681" s="17"/>
      <c r="C681" s="17"/>
      <c r="E681" s="24"/>
      <c r="F681" s="24"/>
    </row>
    <row r="682" s="14" customFormat="true" ht="15" hidden="false" customHeight="false" outlineLevel="0" collapsed="false">
      <c r="A682" s="17"/>
      <c r="B682" s="17"/>
      <c r="C682" s="17"/>
      <c r="E682" s="24"/>
      <c r="F682" s="24"/>
    </row>
    <row r="683" s="14" customFormat="true" ht="15" hidden="false" customHeight="false" outlineLevel="0" collapsed="false">
      <c r="A683" s="17"/>
      <c r="B683" s="17"/>
      <c r="C683" s="17"/>
      <c r="E683" s="24"/>
      <c r="F683" s="24"/>
    </row>
    <row r="684" s="14" customFormat="true" ht="15" hidden="false" customHeight="false" outlineLevel="0" collapsed="false">
      <c r="A684" s="17"/>
      <c r="B684" s="17"/>
      <c r="C684" s="17"/>
      <c r="E684" s="24"/>
      <c r="F684" s="24"/>
    </row>
    <row r="685" s="14" customFormat="true" ht="15" hidden="false" customHeight="false" outlineLevel="0" collapsed="false">
      <c r="A685" s="17"/>
      <c r="B685" s="17"/>
      <c r="C685" s="17"/>
      <c r="E685" s="24"/>
      <c r="F685" s="24"/>
    </row>
    <row r="686" s="14" customFormat="true" ht="15" hidden="false" customHeight="false" outlineLevel="0" collapsed="false">
      <c r="A686" s="17"/>
      <c r="B686" s="17"/>
      <c r="C686" s="17"/>
      <c r="E686" s="24"/>
      <c r="F686" s="24"/>
    </row>
    <row r="687" s="14" customFormat="true" ht="15" hidden="false" customHeight="false" outlineLevel="0" collapsed="false">
      <c r="A687" s="17"/>
      <c r="B687" s="17"/>
      <c r="C687" s="17"/>
      <c r="E687" s="24"/>
      <c r="F687" s="24"/>
    </row>
    <row r="688" s="14" customFormat="true" ht="15" hidden="false" customHeight="false" outlineLevel="0" collapsed="false">
      <c r="A688" s="17"/>
      <c r="B688" s="17"/>
      <c r="C688" s="17"/>
      <c r="E688" s="24"/>
      <c r="F688" s="24"/>
    </row>
    <row r="689" s="14" customFormat="true" ht="15" hidden="false" customHeight="false" outlineLevel="0" collapsed="false"/>
    <row r="690" s="14" customFormat="true" ht="15" hidden="false" customHeight="false" outlineLevel="0" collapsed="false"/>
    <row r="691" s="14" customFormat="true" ht="15" hidden="false" customHeight="false" outlineLevel="0" collapsed="false">
      <c r="Z691" s="18"/>
    </row>
    <row r="692" s="14" customFormat="true" ht="14.25" hidden="false" customHeight="true" outlineLevel="0" collapsed="false">
      <c r="C692" s="16"/>
      <c r="J692" s="16"/>
      <c r="R692" s="16"/>
      <c r="Z692" s="18"/>
    </row>
    <row r="693" s="14" customFormat="true" ht="14.25" hidden="false" customHeight="true" outlineLevel="0" collapsed="false">
      <c r="C693" s="16"/>
      <c r="J693" s="16"/>
      <c r="R693" s="16"/>
      <c r="Z693" s="18"/>
    </row>
    <row r="694" s="14" customFormat="true" ht="15" hidden="false" customHeight="false" outlineLevel="0" collapsed="false"/>
    <row r="695" s="14" customFormat="true" ht="15" hidden="false" customHeight="false" outlineLevel="0" collapsed="false"/>
    <row r="696" s="14" customFormat="true" ht="15" hidden="false" customHeight="false" outlineLevel="0" collapsed="false"/>
    <row r="697" s="14" customFormat="true" ht="15" hidden="false" customHeight="false" outlineLevel="0" collapsed="false"/>
    <row r="698" s="14" customFormat="true" ht="15" hidden="false" customHeight="false" outlineLevel="0" collapsed="false"/>
    <row r="699" s="14" customFormat="true" ht="15" hidden="false" customHeight="false" outlineLevel="0" collapsed="false"/>
    <row r="700" s="14" customFormat="true" ht="15" hidden="false" customHeight="false" outlineLevel="0" collapsed="false"/>
    <row r="701" s="14" customFormat="true" ht="15" hidden="false" customHeight="false" outlineLevel="0" collapsed="false"/>
    <row r="702" s="14" customFormat="true" ht="15" hidden="false" customHeight="false" outlineLevel="0" collapsed="false"/>
    <row r="703" s="14" customFormat="true" ht="15" hidden="false" customHeight="false" outlineLevel="0" collapsed="false"/>
    <row r="704" s="14" customFormat="true" ht="15" hidden="false" customHeight="false" outlineLevel="0" collapsed="false"/>
    <row r="705" s="14" customFormat="true" ht="15" hidden="false" customHeight="false" outlineLevel="0" collapsed="false"/>
    <row r="706" s="14" customFormat="true" ht="15" hidden="false" customHeight="false" outlineLevel="0" collapsed="false"/>
    <row r="707" s="14" customFormat="true" ht="23.25" hidden="false" customHeight="true" outlineLevel="0" collapsed="false">
      <c r="D707" s="18"/>
    </row>
    <row r="708" s="14" customFormat="true" ht="15" hidden="false" customHeight="false" outlineLevel="0" collapsed="false">
      <c r="D708" s="18"/>
      <c r="X708" s="27"/>
      <c r="Y708" s="27"/>
      <c r="Z708" s="27"/>
      <c r="AA708" s="27"/>
      <c r="AB708" s="27"/>
      <c r="AC708" s="27"/>
      <c r="AD708" s="27"/>
      <c r="AE708" s="27"/>
      <c r="AF708" s="27"/>
      <c r="AG708" s="27"/>
      <c r="AH708" s="27"/>
      <c r="AI708" s="27"/>
      <c r="AJ708" s="27"/>
      <c r="AK708" s="27"/>
      <c r="AL708" s="27"/>
      <c r="AM708" s="27"/>
    </row>
    <row r="709" s="14" customFormat="true" ht="15" hidden="false" customHeight="false" outlineLevel="0" collapsed="false">
      <c r="C709" s="17"/>
      <c r="D709" s="17"/>
      <c r="X709" s="27"/>
      <c r="Y709" s="27"/>
      <c r="Z709" s="27"/>
      <c r="AA709" s="27"/>
      <c r="AB709" s="27"/>
      <c r="AC709" s="27"/>
      <c r="AD709" s="27"/>
      <c r="AE709" s="27"/>
      <c r="AF709" s="27"/>
      <c r="AG709" s="27"/>
      <c r="AH709" s="27"/>
      <c r="AI709" s="27"/>
      <c r="AJ709" s="27"/>
      <c r="AK709" s="27"/>
      <c r="AL709" s="27"/>
      <c r="AM709" s="27"/>
    </row>
    <row r="710" s="14" customFormat="true" ht="15" hidden="false" customHeight="false" outlineLevel="0" collapsed="false">
      <c r="X710" s="27"/>
      <c r="Y710" s="27"/>
      <c r="Z710" s="27"/>
      <c r="AA710" s="27"/>
      <c r="AB710" s="27"/>
      <c r="AC710" s="27"/>
      <c r="AD710" s="27"/>
      <c r="AE710" s="27"/>
      <c r="AF710" s="27"/>
      <c r="AG710" s="27"/>
      <c r="AH710" s="27"/>
      <c r="AI710" s="27"/>
      <c r="AJ710" s="27"/>
      <c r="AK710" s="27"/>
      <c r="AL710" s="27"/>
      <c r="AM710" s="27"/>
    </row>
    <row r="711" s="14" customFormat="true" ht="24.45" hidden="false" customHeight="false" outlineLevel="0" collapsed="false">
      <c r="O711" s="21"/>
    </row>
    <row r="712" s="14" customFormat="true" ht="15" hidden="false" customHeight="false" outlineLevel="0" collapsed="false">
      <c r="F712" s="20"/>
      <c r="G712" s="20"/>
      <c r="H712" s="20"/>
      <c r="I712" s="20"/>
      <c r="J712" s="20"/>
      <c r="K712" s="20"/>
      <c r="L712" s="20"/>
      <c r="M712" s="20"/>
    </row>
    <row r="713" s="14" customFormat="true" ht="15" hidden="false" customHeight="false" outlineLevel="0" collapsed="false"/>
    <row r="714" s="14" customFormat="true" ht="15" hidden="false" customHeight="false" outlineLevel="0" collapsed="false"/>
    <row r="715" s="14" customFormat="true" ht="15" hidden="false" customHeight="false" outlineLevel="0" collapsed="false"/>
    <row r="716" s="14" customFormat="true" ht="15" hidden="false" customHeight="false" outlineLevel="0" collapsed="false"/>
  </sheetData>
  <mergeCells count="41">
    <mergeCell ref="H21:H23"/>
    <mergeCell ref="G49:G50"/>
    <mergeCell ref="W50:W51"/>
    <mergeCell ref="AC63:AC65"/>
    <mergeCell ref="C64:C65"/>
    <mergeCell ref="F79:F80"/>
    <mergeCell ref="G99:G100"/>
    <mergeCell ref="X100:X101"/>
    <mergeCell ref="AB113:AB115"/>
    <mergeCell ref="C114:C115"/>
    <mergeCell ref="F129:F130"/>
    <mergeCell ref="C170:C171"/>
    <mergeCell ref="L170:L171"/>
    <mergeCell ref="AB184:AB186"/>
    <mergeCell ref="C185:C186"/>
    <mergeCell ref="T235:T237"/>
    <mergeCell ref="F251:F252"/>
    <mergeCell ref="C311:C312"/>
    <mergeCell ref="AB311:AB312"/>
    <mergeCell ref="F327:F328"/>
    <mergeCell ref="C378:C379"/>
    <mergeCell ref="AD378:AD379"/>
    <mergeCell ref="F394:F395"/>
    <mergeCell ref="C448:C449"/>
    <mergeCell ref="AD448:AD449"/>
    <mergeCell ref="E464:E465"/>
    <mergeCell ref="G496:G497"/>
    <mergeCell ref="AH496:AH497"/>
    <mergeCell ref="E512:E513"/>
    <mergeCell ref="G531:G532"/>
    <mergeCell ref="AH531:AH532"/>
    <mergeCell ref="C613:C614"/>
    <mergeCell ref="R613:R614"/>
    <mergeCell ref="C627:C628"/>
    <mergeCell ref="AB627:AB628"/>
    <mergeCell ref="C665:C666"/>
    <mergeCell ref="R665:R666"/>
    <mergeCell ref="C692:C693"/>
    <mergeCell ref="J692:J693"/>
    <mergeCell ref="R692:R693"/>
    <mergeCell ref="Z692:Z69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291"/>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B122" activeCellId="0" sqref="B122"/>
    </sheetView>
  </sheetViews>
  <sheetFormatPr defaultColWidth="11.00390625" defaultRowHeight="15" zeroHeight="false" outlineLevelRow="0" outlineLevelCol="0"/>
  <cols>
    <col collapsed="false" customWidth="true" hidden="false" outlineLevel="0" max="1" min="1" style="1" width="13.44"/>
    <col collapsed="false" customWidth="true" hidden="false" outlineLevel="0" max="2" min="2" style="1" width="14.56"/>
    <col collapsed="false" customWidth="true" hidden="false" outlineLevel="0" max="3" min="3" style="1" width="12.1"/>
    <col collapsed="false" customWidth="true" hidden="false" outlineLevel="0" max="8" min="8" style="1" width="6.22"/>
    <col collapsed="false" customWidth="true" hidden="false" outlineLevel="0" max="9" min="9" style="1" width="5.33"/>
    <col collapsed="false" customWidth="true" hidden="false" outlineLevel="0" max="10" min="10" style="1" width="9.89"/>
    <col collapsed="false" customWidth="true" hidden="false" outlineLevel="0" max="11" min="11" style="1" width="13.66"/>
    <col collapsed="false" customWidth="true" hidden="false" outlineLevel="0" max="12" min="12" style="1" width="3.78"/>
    <col collapsed="false" customWidth="true" hidden="false" outlineLevel="0" max="13" min="13" style="1" width="10"/>
    <col collapsed="false" customWidth="true" hidden="false" outlineLevel="0" max="14" min="14" style="1" width="4.1"/>
    <col collapsed="false" customWidth="true" hidden="false" outlineLevel="0" max="15" min="15" style="1" width="5.44"/>
    <col collapsed="false" customWidth="true" hidden="false" outlineLevel="0" max="16" min="16" style="1" width="3.89"/>
    <col collapsed="false" customWidth="true" hidden="false" outlineLevel="0" max="17" min="17" style="1" width="6.78"/>
    <col collapsed="false" customWidth="true" hidden="false" outlineLevel="0" max="18" min="18" style="1" width="5.22"/>
    <col collapsed="false" customWidth="true" hidden="false" outlineLevel="0" max="19" min="19" style="1" width="5.33"/>
    <col collapsed="false" customWidth="true" hidden="false" outlineLevel="0" max="20" min="20" style="1" width="4.44"/>
    <col collapsed="false" customWidth="true" hidden="false" outlineLevel="0" max="21" min="21" style="1" width="5.56"/>
    <col collapsed="false" customWidth="true" hidden="false" outlineLevel="0" max="22" min="22" style="1" width="6.34"/>
    <col collapsed="false" customWidth="true" hidden="false" outlineLevel="0" max="23" min="23" style="1" width="5.1"/>
    <col collapsed="false" customWidth="true" hidden="false" outlineLevel="0" max="24" min="24" style="1" width="4.22"/>
    <col collapsed="false" customWidth="true" hidden="false" outlineLevel="0" max="25" min="25" style="1" width="5.78"/>
    <col collapsed="false" customWidth="true" hidden="false" outlineLevel="0" max="26" min="26" style="1" width="4"/>
    <col collapsed="false" customWidth="true" hidden="false" outlineLevel="0" max="27" min="27" style="1" width="5.33"/>
    <col collapsed="false" customWidth="true" hidden="false" outlineLevel="0" max="29" min="28" style="1" width="4.44"/>
    <col collapsed="false" customWidth="true" hidden="false" outlineLevel="0" max="30" min="30" style="1" width="4.67"/>
    <col collapsed="false" customWidth="true" hidden="false" outlineLevel="0" max="31" min="31" style="1" width="4.22"/>
    <col collapsed="false" customWidth="true" hidden="false" outlineLevel="0" max="32" min="32" style="1" width="4.1"/>
    <col collapsed="false" customWidth="true" hidden="false" outlineLevel="0" max="33" min="33" style="1" width="6"/>
    <col collapsed="false" customWidth="true" hidden="false" outlineLevel="0" max="34" min="34" style="1" width="5.22"/>
    <col collapsed="false" customWidth="true" hidden="false" outlineLevel="0" max="35" min="35" style="1" width="4"/>
    <col collapsed="false" customWidth="true" hidden="false" outlineLevel="0" max="36" min="36" style="1" width="4.78"/>
    <col collapsed="false" customWidth="true" hidden="false" outlineLevel="0" max="38" min="37" style="1" width="5"/>
    <col collapsed="false" customWidth="true" hidden="false" outlineLevel="0" max="39" min="39" style="1" width="6.1"/>
    <col collapsed="false" customWidth="true" hidden="false" outlineLevel="0" max="40" min="40" style="1" width="4.89"/>
    <col collapsed="false" customWidth="true" hidden="false" outlineLevel="0" max="41" min="41" style="1" width="3.89"/>
    <col collapsed="false" customWidth="true" hidden="false" outlineLevel="0" max="42" min="42" style="1" width="4"/>
    <col collapsed="false" customWidth="true" hidden="false" outlineLevel="0" max="43" min="43" style="1" width="4.33"/>
    <col collapsed="false" customWidth="true" hidden="false" outlineLevel="0" max="44" min="44" style="1" width="4.44"/>
    <col collapsed="false" customWidth="true" hidden="false" outlineLevel="0" max="45" min="45" style="1" width="5.78"/>
    <col collapsed="false" customWidth="true" hidden="false" outlineLevel="0" max="46" min="46" style="1" width="6.56"/>
    <col collapsed="false" customWidth="true" hidden="false" outlineLevel="0" max="48" min="47" style="1" width="5"/>
    <col collapsed="false" customWidth="true" hidden="false" outlineLevel="0" max="49" min="49" style="1" width="5.22"/>
    <col collapsed="false" customWidth="true" hidden="false" outlineLevel="0" max="50" min="50" style="1" width="6.1"/>
    <col collapsed="false" customWidth="true" hidden="false" outlineLevel="0" max="51" min="51" style="1" width="5.1"/>
    <col collapsed="false" customWidth="true" hidden="false" outlineLevel="0" max="52" min="52" style="1" width="6.34"/>
    <col collapsed="false" customWidth="true" hidden="false" outlineLevel="0" max="53" min="53" style="1" width="5.1"/>
    <col collapsed="false" customWidth="true" hidden="false" outlineLevel="0" max="54" min="54" style="1" width="5.89"/>
    <col collapsed="false" customWidth="true" hidden="false" outlineLevel="0" max="55" min="55" style="1" width="5.22"/>
    <col collapsed="false" customWidth="true" hidden="false" outlineLevel="0" max="56" min="56" style="1" width="4.55"/>
    <col collapsed="false" customWidth="true" hidden="false" outlineLevel="0" max="57" min="57" style="1" width="4.67"/>
    <col collapsed="false" customWidth="true" hidden="false" outlineLevel="0" max="59" min="59" style="1" width="5.33"/>
    <col collapsed="false" customWidth="true" hidden="false" outlineLevel="0" max="60" min="60" style="1" width="5"/>
    <col collapsed="false" customWidth="true" hidden="false" outlineLevel="0" max="61" min="61" style="1" width="4.78"/>
    <col collapsed="false" customWidth="true" hidden="false" outlineLevel="0" max="62" min="62" style="1" width="7"/>
    <col collapsed="false" customWidth="true" hidden="false" outlineLevel="0" max="63" min="63" style="1" width="4.67"/>
    <col collapsed="false" customWidth="true" hidden="false" outlineLevel="0" max="64" min="64" style="1" width="4.55"/>
    <col collapsed="false" customWidth="true" hidden="false" outlineLevel="0" max="65" min="65" style="1" width="5.33"/>
    <col collapsed="false" customWidth="true" hidden="false" outlineLevel="0" max="66" min="66" style="1" width="5.1"/>
    <col collapsed="false" customWidth="true" hidden="false" outlineLevel="0" max="67" min="67" style="1" width="4"/>
    <col collapsed="false" customWidth="true" hidden="false" outlineLevel="0" max="68" min="68" style="1" width="4.55"/>
    <col collapsed="false" customWidth="true" hidden="false" outlineLevel="0" max="69" min="69" style="1" width="4.44"/>
    <col collapsed="false" customWidth="true" hidden="false" outlineLevel="0" max="70" min="70" style="1" width="5.1"/>
    <col collapsed="false" customWidth="true" hidden="false" outlineLevel="0" max="71" min="71" style="1" width="5.56"/>
  </cols>
  <sheetData>
    <row r="1" customFormat="false" ht="15" hidden="false" customHeight="false" outlineLevel="0" collapsed="false">
      <c r="O1" s="32" t="s">
        <v>22</v>
      </c>
      <c r="P1" s="33"/>
      <c r="Q1" s="33"/>
      <c r="R1" s="33"/>
      <c r="S1" s="33"/>
      <c r="T1" s="33"/>
      <c r="U1" s="33"/>
      <c r="V1" s="33"/>
      <c r="W1" s="33"/>
      <c r="X1" s="33"/>
      <c r="Y1" s="33"/>
      <c r="Z1" s="33"/>
      <c r="AC1" s="4" t="s">
        <v>23</v>
      </c>
      <c r="BD1" s="5" t="s">
        <v>14</v>
      </c>
      <c r="BE1" s="6" t="n">
        <v>0</v>
      </c>
      <c r="BF1" s="6" t="n">
        <v>1</v>
      </c>
      <c r="BG1" s="6" t="n">
        <v>0</v>
      </c>
      <c r="BH1" s="6" t="n">
        <v>1</v>
      </c>
      <c r="BI1" s="6" t="n">
        <v>0</v>
      </c>
      <c r="BJ1" s="6" t="n">
        <v>1</v>
      </c>
      <c r="BK1" s="6" t="n">
        <v>0</v>
      </c>
      <c r="BL1" s="6" t="n">
        <v>1</v>
      </c>
    </row>
    <row r="2" customFormat="false" ht="15" hidden="false" customHeight="true" outlineLevel="0" collapsed="false">
      <c r="A2" s="1" t="s">
        <v>24</v>
      </c>
      <c r="Q2" s="8" t="s">
        <v>18</v>
      </c>
      <c r="R2" s="5" t="s">
        <v>14</v>
      </c>
      <c r="S2" s="6" t="n">
        <v>0</v>
      </c>
      <c r="T2" s="6" t="n">
        <v>1</v>
      </c>
      <c r="U2" s="6" t="n">
        <v>0</v>
      </c>
      <c r="V2" s="6" t="n">
        <v>1</v>
      </c>
      <c r="W2" s="6" t="n">
        <v>0</v>
      </c>
      <c r="X2" s="6" t="n">
        <v>1</v>
      </c>
      <c r="Y2" s="6" t="n">
        <v>0</v>
      </c>
      <c r="Z2" s="6" t="n">
        <v>1</v>
      </c>
      <c r="AC2" s="4" t="s">
        <v>25</v>
      </c>
      <c r="BD2" s="5" t="s">
        <v>15</v>
      </c>
      <c r="BE2" s="6" t="n">
        <v>0</v>
      </c>
      <c r="BF2" s="6" t="n">
        <v>0</v>
      </c>
      <c r="BG2" s="6" t="n">
        <v>1</v>
      </c>
      <c r="BH2" s="6" t="n">
        <v>1</v>
      </c>
      <c r="BI2" s="6" t="n">
        <v>0</v>
      </c>
      <c r="BJ2" s="6" t="n">
        <v>0</v>
      </c>
      <c r="BK2" s="6" t="n">
        <v>1</v>
      </c>
      <c r="BL2" s="6" t="n">
        <v>1</v>
      </c>
    </row>
    <row r="3" customFormat="false" ht="15" hidden="false" customHeight="false" outlineLevel="0" collapsed="false">
      <c r="Q3" s="8"/>
      <c r="R3" s="5" t="s">
        <v>15</v>
      </c>
      <c r="S3" s="6" t="n">
        <v>0</v>
      </c>
      <c r="T3" s="6" t="n">
        <v>0</v>
      </c>
      <c r="U3" s="6" t="n">
        <v>1</v>
      </c>
      <c r="V3" s="6" t="n">
        <v>1</v>
      </c>
      <c r="W3" s="6" t="n">
        <v>0</v>
      </c>
      <c r="X3" s="6" t="n">
        <v>0</v>
      </c>
      <c r="Y3" s="6" t="n">
        <v>1</v>
      </c>
      <c r="Z3" s="6" t="n">
        <v>1</v>
      </c>
      <c r="AC3" s="4" t="s">
        <v>26</v>
      </c>
      <c r="AI3" s="4" t="s">
        <v>27</v>
      </c>
      <c r="AZ3" s="34" t="s">
        <v>14</v>
      </c>
      <c r="BB3" s="34" t="s">
        <v>15</v>
      </c>
      <c r="BC3" s="34" t="s">
        <v>16</v>
      </c>
      <c r="BD3" s="5" t="s">
        <v>16</v>
      </c>
      <c r="BE3" s="6" t="n">
        <v>0</v>
      </c>
      <c r="BF3" s="6" t="n">
        <v>0</v>
      </c>
      <c r="BG3" s="6" t="n">
        <v>0</v>
      </c>
      <c r="BH3" s="6" t="n">
        <v>0</v>
      </c>
      <c r="BI3" s="6" t="n">
        <v>1</v>
      </c>
      <c r="BJ3" s="6" t="n">
        <v>1</v>
      </c>
      <c r="BK3" s="6" t="n">
        <v>1</v>
      </c>
      <c r="BL3" s="6" t="n">
        <v>1</v>
      </c>
    </row>
    <row r="4" customFormat="false" ht="15" hidden="false" customHeight="false" outlineLevel="0" collapsed="false">
      <c r="O4" s="1" t="s">
        <v>19</v>
      </c>
      <c r="Q4" s="8"/>
      <c r="R4" s="5" t="s">
        <v>16</v>
      </c>
      <c r="S4" s="6" t="n">
        <v>0</v>
      </c>
      <c r="T4" s="6" t="n">
        <v>0</v>
      </c>
      <c r="U4" s="6" t="n">
        <v>0</v>
      </c>
      <c r="V4" s="6" t="n">
        <v>0</v>
      </c>
      <c r="W4" s="6" t="n">
        <v>1</v>
      </c>
      <c r="X4" s="6" t="n">
        <v>1</v>
      </c>
      <c r="Y4" s="6" t="n">
        <v>1</v>
      </c>
      <c r="Z4" s="6" t="n">
        <v>1</v>
      </c>
      <c r="AC4" s="4" t="s">
        <v>28</v>
      </c>
      <c r="AZ4" s="35" t="n">
        <v>1</v>
      </c>
      <c r="BA4" s="11" t="n">
        <v>1</v>
      </c>
      <c r="BB4" s="1" t="n">
        <v>1</v>
      </c>
      <c r="BC4" s="1" t="n">
        <v>0</v>
      </c>
      <c r="BE4" s="1" t="n">
        <v>0.5</v>
      </c>
      <c r="BF4" s="1" t="n">
        <v>0</v>
      </c>
      <c r="BG4" s="1" t="n">
        <v>0</v>
      </c>
      <c r="BH4" s="1" t="n">
        <v>0</v>
      </c>
      <c r="BI4" s="1" t="n">
        <v>0.5</v>
      </c>
      <c r="BJ4" s="1" t="n">
        <v>0</v>
      </c>
      <c r="BK4" s="1" t="n">
        <v>0</v>
      </c>
      <c r="BL4" s="1" t="n">
        <v>0</v>
      </c>
    </row>
    <row r="5" customFormat="false" ht="15" hidden="false" customHeight="false" outlineLevel="0" collapsed="false">
      <c r="A5" s="1" t="s">
        <v>29</v>
      </c>
      <c r="O5" s="9" t="s">
        <v>14</v>
      </c>
      <c r="P5" s="9" t="s">
        <v>15</v>
      </c>
      <c r="Q5" s="9" t="s">
        <v>16</v>
      </c>
      <c r="AE5" s="4" t="s">
        <v>30</v>
      </c>
      <c r="BE5" s="12" t="n">
        <v>0</v>
      </c>
      <c r="BF5" s="12" t="n">
        <v>0</v>
      </c>
      <c r="BG5" s="12" t="n">
        <v>0</v>
      </c>
      <c r="BH5" s="12" t="n">
        <v>0</v>
      </c>
      <c r="BI5" s="12" t="n">
        <v>1</v>
      </c>
      <c r="BJ5" s="12" t="n">
        <v>0</v>
      </c>
      <c r="BK5" s="12" t="n">
        <v>0</v>
      </c>
      <c r="BL5" s="12" t="n">
        <v>0</v>
      </c>
    </row>
    <row r="6" customFormat="false" ht="16.4" hidden="false" customHeight="false" outlineLevel="0" collapsed="false">
      <c r="A6" s="1" t="s">
        <v>31</v>
      </c>
      <c r="O6" s="1" t="n">
        <v>1</v>
      </c>
      <c r="P6" s="1" t="n">
        <v>0</v>
      </c>
      <c r="Q6" s="1" t="n">
        <v>0</v>
      </c>
      <c r="S6" s="12" t="n">
        <v>0</v>
      </c>
      <c r="T6" s="12" t="n">
        <v>0</v>
      </c>
      <c r="U6" s="12" t="n">
        <v>0</v>
      </c>
      <c r="V6" s="12" t="n">
        <v>0</v>
      </c>
      <c r="W6" s="12" t="n">
        <v>1</v>
      </c>
      <c r="X6" s="12" t="n">
        <v>0</v>
      </c>
      <c r="Y6" s="12" t="n">
        <v>0</v>
      </c>
      <c r="Z6" s="12" t="n">
        <v>0</v>
      </c>
      <c r="AE6" s="36" t="s">
        <v>32</v>
      </c>
      <c r="BC6" s="37" t="s">
        <v>14</v>
      </c>
      <c r="BE6" s="4" t="n">
        <f aca="false">1/16</f>
        <v>0.0625</v>
      </c>
      <c r="BF6" s="4" t="n">
        <f aca="false">3/16</f>
        <v>0.1875</v>
      </c>
      <c r="BG6" s="4" t="n">
        <f aca="false">1/16</f>
        <v>0.0625</v>
      </c>
      <c r="BH6" s="4" t="n">
        <f aca="false">3/16</f>
        <v>0.1875</v>
      </c>
      <c r="BI6" s="4" t="n">
        <f aca="false">1/16</f>
        <v>0.0625</v>
      </c>
      <c r="BJ6" s="4" t="n">
        <f aca="false">3/16</f>
        <v>0.1875</v>
      </c>
      <c r="BK6" s="4" t="n">
        <f aca="false">1/16</f>
        <v>0.0625</v>
      </c>
      <c r="BL6" s="4" t="n">
        <f aca="false">3/16</f>
        <v>0.1875</v>
      </c>
    </row>
    <row r="7" customFormat="false" ht="17.35" hidden="false" customHeight="false" outlineLevel="0" collapsed="false">
      <c r="A7" s="1" t="s">
        <v>33</v>
      </c>
      <c r="O7" s="38" t="s">
        <v>34</v>
      </c>
      <c r="P7" s="39"/>
      <c r="Q7" s="39"/>
      <c r="U7" s="38" t="s">
        <v>35</v>
      </c>
      <c r="BC7" s="40"/>
      <c r="BE7" s="12" t="n">
        <v>0</v>
      </c>
      <c r="BF7" s="12" t="n">
        <v>0</v>
      </c>
      <c r="BG7" s="12" t="n">
        <v>0</v>
      </c>
      <c r="BH7" s="12" t="n">
        <v>0</v>
      </c>
      <c r="BI7" s="12" t="n">
        <v>1</v>
      </c>
      <c r="BJ7" s="12" t="n">
        <v>0</v>
      </c>
      <c r="BK7" s="12" t="n">
        <v>0</v>
      </c>
      <c r="BL7" s="12" t="n">
        <v>0</v>
      </c>
    </row>
    <row r="8" customFormat="false" ht="15" hidden="false" customHeight="false" outlineLevel="0" collapsed="false">
      <c r="A8" s="1" t="s">
        <v>36</v>
      </c>
      <c r="D8" s="1" t="s">
        <v>37</v>
      </c>
      <c r="J8" s="37" t="s">
        <v>38</v>
      </c>
      <c r="K8" s="37"/>
      <c r="L8" s="4" t="s">
        <v>39</v>
      </c>
      <c r="N8" s="41" t="s">
        <v>40</v>
      </c>
      <c r="O8" s="41"/>
      <c r="P8" s="41"/>
      <c r="Q8" s="37" t="s">
        <v>41</v>
      </c>
      <c r="R8" s="37"/>
      <c r="S8" s="37"/>
      <c r="T8" s="37"/>
      <c r="U8" s="41" t="s">
        <v>42</v>
      </c>
      <c r="V8" s="41"/>
      <c r="W8" s="32" t="s">
        <v>43</v>
      </c>
      <c r="BD8" s="4" t="s">
        <v>44</v>
      </c>
      <c r="BE8" s="4" t="n">
        <f aca="false">BE6*1+BF6*2+BG6*2+BH6*3+BJ6*1+BK6*1+BL6*2</f>
        <v>1.75</v>
      </c>
    </row>
    <row r="9" customFormat="false" ht="15" hidden="false" customHeight="false" outlineLevel="0" collapsed="false">
      <c r="B9" s="1" t="s">
        <v>45</v>
      </c>
      <c r="J9" s="1" t="s">
        <v>46</v>
      </c>
      <c r="L9" s="1" t="s">
        <v>47</v>
      </c>
      <c r="O9" s="42" t="n">
        <f aca="false">$AG$25</f>
        <v>1</v>
      </c>
      <c r="Q9" s="4" t="s">
        <v>48</v>
      </c>
      <c r="U9" s="43" t="n">
        <f aca="false">$AX$25</f>
        <v>1</v>
      </c>
      <c r="V9" s="44"/>
      <c r="W9" s="45" t="n">
        <f aca="false">O9-U9</f>
        <v>0</v>
      </c>
      <c r="X9" s="46"/>
      <c r="BD9" s="47" t="s">
        <v>49</v>
      </c>
      <c r="BE9" s="47" t="n">
        <f aca="false">BE4*1+BF4*2+BG4*2+BH4*3+BJ4*1+BK4*1+BL4*2</f>
        <v>0.5</v>
      </c>
      <c r="BF9" s="6"/>
      <c r="BG9" s="47" t="s">
        <v>50</v>
      </c>
      <c r="BH9" s="48" t="n">
        <v>0.5</v>
      </c>
      <c r="BI9" s="4" t="s">
        <v>51</v>
      </c>
    </row>
    <row r="10" customFormat="false" ht="15" hidden="false" customHeight="false" outlineLevel="0" collapsed="false">
      <c r="B10" s="1" t="s">
        <v>52</v>
      </c>
      <c r="J10" s="1" t="s">
        <v>53</v>
      </c>
      <c r="L10" s="1" t="s">
        <v>47</v>
      </c>
      <c r="O10" s="11" t="n">
        <f aca="false">$AG$34</f>
        <v>1.25</v>
      </c>
      <c r="Q10" s="4" t="s">
        <v>54</v>
      </c>
      <c r="U10" s="49" t="n">
        <f aca="false">0.5*2</f>
        <v>1</v>
      </c>
      <c r="V10" s="44"/>
      <c r="W10" s="45" t="n">
        <f aca="false">O10-U10</f>
        <v>0.25</v>
      </c>
      <c r="X10" s="46"/>
      <c r="BD10" s="50" t="s">
        <v>50</v>
      </c>
      <c r="BE10" s="50" t="n">
        <f aca="false">$U$10</f>
        <v>1</v>
      </c>
      <c r="BF10" s="6"/>
      <c r="BG10" s="51" t="s">
        <v>50</v>
      </c>
      <c r="BH10" s="51" t="n">
        <f aca="false">$BE$8</f>
        <v>1.75</v>
      </c>
    </row>
    <row r="11" customFormat="false" ht="15" hidden="false" customHeight="false" outlineLevel="0" collapsed="false">
      <c r="B11" s="1" t="s">
        <v>55</v>
      </c>
      <c r="J11" s="1" t="s">
        <v>56</v>
      </c>
      <c r="L11" s="1" t="s">
        <v>47</v>
      </c>
      <c r="O11" s="52" t="n">
        <f aca="false">$AG$45</f>
        <v>1.25</v>
      </c>
      <c r="Q11" s="4" t="s">
        <v>57</v>
      </c>
      <c r="U11" s="53" t="n">
        <f aca="false">AX45</f>
        <v>0.75</v>
      </c>
      <c r="V11" s="44"/>
      <c r="W11" s="45" t="n">
        <f aca="false">O11-U11</f>
        <v>0.5</v>
      </c>
      <c r="X11" s="46"/>
      <c r="BD11" s="6"/>
      <c r="BE11" s="6" t="n">
        <f aca="false">SUM(BE9:BE10)</f>
        <v>1.5</v>
      </c>
      <c r="BF11" s="6"/>
      <c r="BG11" s="6" t="s">
        <v>58</v>
      </c>
      <c r="BH11" s="6" t="n">
        <f aca="false">SUM(BH9:BH10)</f>
        <v>2.25</v>
      </c>
    </row>
    <row r="12" customFormat="false" ht="15" hidden="false" customHeight="false" outlineLevel="0" collapsed="false">
      <c r="B12" s="1" t="s">
        <v>59</v>
      </c>
      <c r="J12" s="1" t="s">
        <v>60</v>
      </c>
      <c r="L12" s="1" t="s">
        <v>47</v>
      </c>
      <c r="O12" s="11" t="n">
        <f aca="false">$AG$56</f>
        <v>1</v>
      </c>
      <c r="Q12" s="4" t="s">
        <v>61</v>
      </c>
      <c r="U12" s="54" t="n">
        <f aca="false">$AX$56</f>
        <v>0.25</v>
      </c>
      <c r="V12" s="44"/>
      <c r="W12" s="45" t="n">
        <f aca="false">O12-U12</f>
        <v>0.75</v>
      </c>
      <c r="X12" s="46"/>
    </row>
    <row r="13" customFormat="false" ht="15" hidden="false" customHeight="false" outlineLevel="0" collapsed="false">
      <c r="B13" s="1" t="s">
        <v>62</v>
      </c>
      <c r="J13" s="1" t="s">
        <v>63</v>
      </c>
      <c r="L13" s="1" t="s">
        <v>47</v>
      </c>
      <c r="O13" s="55" t="n">
        <f aca="false">$AG$68</f>
        <v>0.5</v>
      </c>
      <c r="Q13" s="4" t="s">
        <v>64</v>
      </c>
      <c r="U13" s="56" t="n">
        <f aca="false">$AX$68</f>
        <v>0.5</v>
      </c>
      <c r="V13" s="44"/>
      <c r="W13" s="45" t="n">
        <f aca="false">O13-U13</f>
        <v>0</v>
      </c>
      <c r="X13" s="46"/>
    </row>
    <row r="14" customFormat="false" ht="16.4" hidden="false" customHeight="false" outlineLevel="0" collapsed="false">
      <c r="B14" s="1" t="s">
        <v>65</v>
      </c>
      <c r="C14" s="57"/>
    </row>
    <row r="15" customFormat="false" ht="15" hidden="false" customHeight="false" outlineLevel="0" collapsed="false">
      <c r="B15" s="1" t="s">
        <v>66</v>
      </c>
      <c r="AA15" s="32" t="s">
        <v>67</v>
      </c>
      <c r="AB15" s="33"/>
      <c r="AC15" s="33"/>
      <c r="AD15" s="33"/>
      <c r="AE15" s="33"/>
      <c r="AF15" s="33"/>
      <c r="AG15" s="33"/>
      <c r="AH15" s="33"/>
      <c r="AI15" s="33"/>
      <c r="AJ15" s="33"/>
      <c r="AK15" s="33"/>
      <c r="AL15" s="33"/>
      <c r="AM15" s="33"/>
      <c r="AN15" s="33"/>
      <c r="AQ15" s="32" t="s">
        <v>68</v>
      </c>
      <c r="AR15" s="33"/>
      <c r="AS15" s="33"/>
      <c r="AT15" s="33"/>
      <c r="AU15" s="33"/>
      <c r="AV15" s="33"/>
      <c r="AW15" s="33"/>
      <c r="AX15" s="33"/>
      <c r="AY15" s="33"/>
      <c r="AZ15" s="33"/>
      <c r="BA15" s="33"/>
      <c r="BB15" s="33"/>
      <c r="BC15" s="33"/>
      <c r="BD15" s="33"/>
      <c r="BE15" s="33"/>
    </row>
    <row r="16" customFormat="false" ht="15" hidden="false" customHeight="false" outlineLevel="0" collapsed="false">
      <c r="A16" s="1" t="s">
        <v>69</v>
      </c>
      <c r="D16" s="1" t="s">
        <v>70</v>
      </c>
      <c r="J16" s="37" t="s">
        <v>38</v>
      </c>
      <c r="K16" s="37"/>
      <c r="L16" s="4" t="s">
        <v>39</v>
      </c>
      <c r="N16" s="33" t="s">
        <v>71</v>
      </c>
      <c r="O16" s="33"/>
      <c r="Q16" s="37" t="s">
        <v>41</v>
      </c>
      <c r="R16" s="37"/>
      <c r="S16" s="37"/>
      <c r="T16" s="37"/>
      <c r="U16" s="33" t="s">
        <v>42</v>
      </c>
      <c r="V16" s="33"/>
      <c r="W16" s="32" t="s">
        <v>43</v>
      </c>
      <c r="AF16" s="5" t="s">
        <v>14</v>
      </c>
      <c r="AG16" s="6" t="n">
        <v>0</v>
      </c>
      <c r="AH16" s="6" t="n">
        <v>1</v>
      </c>
      <c r="AI16" s="6" t="n">
        <v>0</v>
      </c>
      <c r="AJ16" s="6" t="n">
        <v>1</v>
      </c>
      <c r="AK16" s="6" t="n">
        <v>0</v>
      </c>
      <c r="AL16" s="6" t="n">
        <v>1</v>
      </c>
      <c r="AM16" s="6" t="n">
        <v>0</v>
      </c>
      <c r="AN16" s="6" t="n">
        <v>1</v>
      </c>
      <c r="AW16" s="5" t="s">
        <v>14</v>
      </c>
      <c r="AX16" s="6" t="n">
        <v>0</v>
      </c>
      <c r="AY16" s="6" t="n">
        <v>1</v>
      </c>
      <c r="AZ16" s="6" t="n">
        <v>0</v>
      </c>
      <c r="BA16" s="6" t="n">
        <v>1</v>
      </c>
      <c r="BB16" s="6" t="n">
        <v>0</v>
      </c>
      <c r="BC16" s="6" t="n">
        <v>1</v>
      </c>
      <c r="BD16" s="6" t="n">
        <v>0</v>
      </c>
      <c r="BE16" s="6" t="n">
        <v>1</v>
      </c>
    </row>
    <row r="17" customFormat="false" ht="15" hidden="false" customHeight="false" outlineLevel="0" collapsed="false">
      <c r="B17" s="1" t="s">
        <v>72</v>
      </c>
      <c r="J17" s="1" t="s">
        <v>73</v>
      </c>
      <c r="L17" s="1" t="s">
        <v>47</v>
      </c>
      <c r="O17" s="11" t="n">
        <f aca="false">$AG$75</f>
        <v>1.5</v>
      </c>
      <c r="Q17" s="4" t="s">
        <v>54</v>
      </c>
      <c r="U17" s="58" t="n">
        <f aca="false">$U$10</f>
        <v>1</v>
      </c>
      <c r="V17" s="59"/>
      <c r="W17" s="45" t="n">
        <f aca="false">O17-U17</f>
        <v>0.5</v>
      </c>
      <c r="X17" s="46"/>
      <c r="AF17" s="5" t="s">
        <v>15</v>
      </c>
      <c r="AG17" s="6" t="n">
        <v>0</v>
      </c>
      <c r="AH17" s="6" t="n">
        <v>0</v>
      </c>
      <c r="AI17" s="6" t="n">
        <v>1</v>
      </c>
      <c r="AJ17" s="6" t="n">
        <v>1</v>
      </c>
      <c r="AK17" s="6" t="n">
        <v>0</v>
      </c>
      <c r="AL17" s="6" t="n">
        <v>0</v>
      </c>
      <c r="AM17" s="6" t="n">
        <v>1</v>
      </c>
      <c r="AN17" s="6" t="n">
        <v>1</v>
      </c>
      <c r="AW17" s="5" t="s">
        <v>15</v>
      </c>
      <c r="AX17" s="6" t="n">
        <v>0</v>
      </c>
      <c r="AY17" s="6" t="n">
        <v>0</v>
      </c>
      <c r="AZ17" s="6" t="n">
        <v>1</v>
      </c>
      <c r="BA17" s="6" t="n">
        <v>1</v>
      </c>
      <c r="BB17" s="6" t="n">
        <v>0</v>
      </c>
      <c r="BC17" s="6" t="n">
        <v>0</v>
      </c>
      <c r="BD17" s="6" t="n">
        <v>1</v>
      </c>
      <c r="BE17" s="6" t="n">
        <v>1</v>
      </c>
    </row>
    <row r="18" customFormat="false" ht="15" hidden="false" customHeight="false" outlineLevel="0" collapsed="false">
      <c r="B18" s="1" t="s">
        <v>74</v>
      </c>
      <c r="J18" s="1" t="s">
        <v>75</v>
      </c>
      <c r="L18" s="1" t="s">
        <v>47</v>
      </c>
      <c r="O18" s="60" t="n">
        <f aca="false">$AG$86</f>
        <v>1</v>
      </c>
      <c r="Q18" s="4" t="s">
        <v>57</v>
      </c>
      <c r="U18" s="61" t="n">
        <f aca="false">$U$11</f>
        <v>0.75</v>
      </c>
      <c r="V18" s="59"/>
      <c r="W18" s="45" t="n">
        <f aca="false">O18-U18</f>
        <v>0.25</v>
      </c>
      <c r="X18" s="46"/>
      <c r="Z18" s="4" t="s">
        <v>76</v>
      </c>
      <c r="AA18" s="34" t="s">
        <v>14</v>
      </c>
      <c r="AB18" s="34" t="s">
        <v>15</v>
      </c>
      <c r="AE18" s="34" t="s">
        <v>16</v>
      </c>
      <c r="AF18" s="5" t="s">
        <v>16</v>
      </c>
      <c r="AG18" s="6" t="n">
        <v>0</v>
      </c>
      <c r="AH18" s="6" t="n">
        <v>0</v>
      </c>
      <c r="AI18" s="6" t="n">
        <v>0</v>
      </c>
      <c r="AJ18" s="6" t="n">
        <v>0</v>
      </c>
      <c r="AK18" s="6" t="n">
        <v>1</v>
      </c>
      <c r="AL18" s="6" t="n">
        <v>1</v>
      </c>
      <c r="AM18" s="6" t="n">
        <v>1</v>
      </c>
      <c r="AN18" s="6" t="n">
        <v>1</v>
      </c>
      <c r="AQ18" s="5" t="s">
        <v>15</v>
      </c>
      <c r="AU18" s="34" t="s">
        <v>14</v>
      </c>
      <c r="AV18" s="34" t="s">
        <v>16</v>
      </c>
      <c r="AW18" s="5" t="s">
        <v>16</v>
      </c>
      <c r="AX18" s="6" t="n">
        <v>0</v>
      </c>
      <c r="AY18" s="6" t="n">
        <v>0</v>
      </c>
      <c r="AZ18" s="6" t="n">
        <v>0</v>
      </c>
      <c r="BA18" s="6" t="n">
        <v>0</v>
      </c>
      <c r="BB18" s="6" t="n">
        <v>1</v>
      </c>
      <c r="BC18" s="6" t="n">
        <v>1</v>
      </c>
      <c r="BD18" s="6" t="n">
        <v>1</v>
      </c>
      <c r="BE18" s="6" t="n">
        <v>1</v>
      </c>
    </row>
    <row r="19" customFormat="false" ht="15" hidden="false" customHeight="false" outlineLevel="0" collapsed="false">
      <c r="B19" s="1" t="s">
        <v>77</v>
      </c>
      <c r="J19" s="1" t="s">
        <v>78</v>
      </c>
      <c r="L19" s="1" t="s">
        <v>47</v>
      </c>
      <c r="O19" s="11" t="n">
        <f aca="false">$AG$96</f>
        <v>1.5</v>
      </c>
      <c r="Q19" s="4" t="s">
        <v>61</v>
      </c>
      <c r="U19" s="62" t="n">
        <f aca="false">$U$12</f>
        <v>0.25</v>
      </c>
      <c r="V19" s="59"/>
      <c r="W19" s="45" t="n">
        <f aca="false">O19-U19</f>
        <v>1.25</v>
      </c>
      <c r="X19" s="46"/>
      <c r="AA19" s="35" t="n">
        <v>1</v>
      </c>
      <c r="AB19" s="35" t="n">
        <v>0</v>
      </c>
      <c r="AC19" s="11" t="n">
        <v>1</v>
      </c>
      <c r="AE19" s="35" t="n">
        <v>0</v>
      </c>
      <c r="AG19" s="11" t="n">
        <v>0.25</v>
      </c>
      <c r="AH19" s="11" t="n">
        <v>0.25</v>
      </c>
      <c r="AI19" s="11" t="n">
        <v>0</v>
      </c>
      <c r="AJ19" s="11" t="n">
        <v>0</v>
      </c>
      <c r="AK19" s="11" t="n">
        <v>0.25</v>
      </c>
      <c r="AL19" s="11" t="n">
        <v>0.25</v>
      </c>
      <c r="AM19" s="11" t="n">
        <v>0</v>
      </c>
      <c r="AN19" s="11" t="n">
        <v>0</v>
      </c>
      <c r="AQ19" s="63" t="n">
        <v>0</v>
      </c>
      <c r="AR19" s="11" t="n">
        <v>1</v>
      </c>
      <c r="AU19" s="35" t="n">
        <v>1</v>
      </c>
      <c r="AV19" s="35" t="n">
        <v>0</v>
      </c>
      <c r="AX19" s="4" t="n">
        <f aca="false">'[1]EjABCf|ACc'!P116</f>
        <v>0.25</v>
      </c>
      <c r="AY19" s="4" t="n">
        <f aca="false">'[1]EjABCf|ACc'!Q116</f>
        <v>0.25</v>
      </c>
      <c r="AZ19" s="4" t="n">
        <f aca="false">'[1]EjABCf|ACc'!R116</f>
        <v>0</v>
      </c>
      <c r="BA19" s="4" t="n">
        <f aca="false">'[1]EjABCf|ACc'!S116</f>
        <v>0</v>
      </c>
      <c r="BB19" s="4" t="n">
        <f aca="false">'[1]EjABCf|ACc'!T116</f>
        <v>0.25</v>
      </c>
      <c r="BC19" s="4" t="n">
        <f aca="false">'[1]EjABCf|ACc'!U116</f>
        <v>0.25</v>
      </c>
      <c r="BD19" s="4" t="n">
        <f aca="false">'[1]EjABCf|ACc'!V116</f>
        <v>0</v>
      </c>
      <c r="BE19" s="4" t="n">
        <f aca="false">'[1]EjABCf|ACc'!W116</f>
        <v>0</v>
      </c>
    </row>
    <row r="20" customFormat="false" ht="15" hidden="false" customHeight="false" outlineLevel="0" collapsed="false">
      <c r="B20" s="1" t="s">
        <v>79</v>
      </c>
      <c r="J20" s="1" t="s">
        <v>80</v>
      </c>
      <c r="L20" s="1" t="s">
        <v>47</v>
      </c>
      <c r="O20" s="64" t="n">
        <f aca="false">$AG$107</f>
        <v>0.5</v>
      </c>
      <c r="Q20" s="4" t="s">
        <v>64</v>
      </c>
      <c r="U20" s="65" t="n">
        <f aca="false">$U$13</f>
        <v>0.5</v>
      </c>
      <c r="V20" s="59"/>
      <c r="W20" s="45" t="n">
        <f aca="false">O20-U20</f>
        <v>0</v>
      </c>
      <c r="X20" s="46"/>
    </row>
    <row r="21" customFormat="false" ht="15" hidden="false" customHeight="false" outlineLevel="0" collapsed="false">
      <c r="B21" s="1" t="s">
        <v>81</v>
      </c>
      <c r="AC21" s="34" t="s">
        <v>14</v>
      </c>
      <c r="AD21" s="34" t="s">
        <v>15</v>
      </c>
      <c r="AE21" s="34" t="s">
        <v>16</v>
      </c>
      <c r="AT21" s="34" t="s">
        <v>14</v>
      </c>
      <c r="AU21" s="34" t="s">
        <v>15</v>
      </c>
      <c r="AV21" s="34" t="s">
        <v>16</v>
      </c>
    </row>
    <row r="22" customFormat="false" ht="15" hidden="false" customHeight="false" outlineLevel="0" collapsed="false">
      <c r="B22" s="1" t="s">
        <v>82</v>
      </c>
      <c r="AC22" s="35" t="n">
        <v>1</v>
      </c>
      <c r="AD22" s="35" t="n">
        <v>0</v>
      </c>
      <c r="AE22" s="35" t="n">
        <v>0</v>
      </c>
      <c r="AG22" s="11" t="n">
        <v>0.25</v>
      </c>
      <c r="AH22" s="11" t="n">
        <v>0.25</v>
      </c>
      <c r="AI22" s="11" t="n">
        <v>0</v>
      </c>
      <c r="AJ22" s="11" t="n">
        <v>0</v>
      </c>
      <c r="AK22" s="11" t="n">
        <v>0.25</v>
      </c>
      <c r="AL22" s="11" t="n">
        <v>0.25</v>
      </c>
      <c r="AM22" s="11" t="n">
        <v>0</v>
      </c>
      <c r="AN22" s="11" t="n">
        <v>0</v>
      </c>
      <c r="AT22" s="35" t="n">
        <v>1</v>
      </c>
      <c r="AU22" s="35" t="n">
        <v>0</v>
      </c>
      <c r="AV22" s="35" t="n">
        <v>0</v>
      </c>
      <c r="AX22" s="11" t="n">
        <f aca="false">AX19</f>
        <v>0.25</v>
      </c>
      <c r="AY22" s="11" t="n">
        <f aca="false">AY19</f>
        <v>0.25</v>
      </c>
      <c r="AZ22" s="11" t="n">
        <f aca="false">AZ19</f>
        <v>0</v>
      </c>
      <c r="BA22" s="11" t="n">
        <f aca="false">BA19</f>
        <v>0</v>
      </c>
      <c r="BB22" s="11" t="n">
        <f aca="false">BB19</f>
        <v>0.25</v>
      </c>
      <c r="BC22" s="11" t="n">
        <f aca="false">BC19</f>
        <v>0.25</v>
      </c>
      <c r="BD22" s="11" t="n">
        <f aca="false">BD19</f>
        <v>0</v>
      </c>
      <c r="BE22" s="11" t="n">
        <f aca="false">BE19</f>
        <v>0</v>
      </c>
    </row>
    <row r="23" customFormat="false" ht="15" hidden="false" customHeight="false" outlineLevel="0" collapsed="false">
      <c r="A23" s="1" t="s">
        <v>83</v>
      </c>
      <c r="D23" s="1" t="s">
        <v>84</v>
      </c>
      <c r="J23" s="37" t="s">
        <v>38</v>
      </c>
      <c r="K23" s="37"/>
      <c r="L23" s="4" t="s">
        <v>39</v>
      </c>
      <c r="N23" s="33" t="s">
        <v>71</v>
      </c>
      <c r="O23" s="33"/>
      <c r="Q23" s="37" t="s">
        <v>41</v>
      </c>
      <c r="R23" s="37"/>
      <c r="S23" s="37"/>
      <c r="T23" s="37"/>
      <c r="U23" s="33" t="s">
        <v>85</v>
      </c>
      <c r="V23" s="33"/>
      <c r="W23" s="32" t="s">
        <v>43</v>
      </c>
    </row>
    <row r="24" customFormat="false" ht="15" hidden="false" customHeight="false" outlineLevel="0" collapsed="false">
      <c r="B24" s="1" t="s">
        <v>86</v>
      </c>
      <c r="J24" s="1" t="s">
        <v>87</v>
      </c>
      <c r="L24" s="1" t="s">
        <v>47</v>
      </c>
      <c r="O24" s="11" t="n">
        <f aca="false">$AG$117</f>
        <v>1</v>
      </c>
      <c r="Q24" s="4" t="s">
        <v>54</v>
      </c>
      <c r="U24" s="58" t="n">
        <f aca="false">$U$10</f>
        <v>1</v>
      </c>
      <c r="V24" s="59"/>
      <c r="W24" s="45" t="n">
        <f aca="false">O24-U24</f>
        <v>0</v>
      </c>
      <c r="X24" s="46"/>
      <c r="AG24" s="12" t="n">
        <v>0</v>
      </c>
      <c r="AH24" s="12" t="n">
        <v>0</v>
      </c>
      <c r="AI24" s="12" t="n">
        <v>0</v>
      </c>
      <c r="AJ24" s="12" t="n">
        <v>0</v>
      </c>
      <c r="AK24" s="12" t="n">
        <v>1</v>
      </c>
      <c r="AL24" s="12" t="n">
        <v>0</v>
      </c>
      <c r="AM24" s="12" t="n">
        <v>0</v>
      </c>
      <c r="AN24" s="12" t="n">
        <v>0</v>
      </c>
      <c r="AX24" s="12" t="n">
        <v>0</v>
      </c>
      <c r="AY24" s="12" t="n">
        <v>0</v>
      </c>
      <c r="AZ24" s="12" t="n">
        <v>0</v>
      </c>
      <c r="BA24" s="12" t="n">
        <v>0</v>
      </c>
      <c r="BB24" s="12" t="n">
        <v>1</v>
      </c>
      <c r="BC24" s="12" t="n">
        <v>0</v>
      </c>
      <c r="BD24" s="12" t="n">
        <v>0</v>
      </c>
      <c r="BE24" s="12" t="n">
        <v>0</v>
      </c>
    </row>
    <row r="25" customFormat="false" ht="15" hidden="false" customHeight="false" outlineLevel="0" collapsed="false">
      <c r="B25" s="1" t="s">
        <v>88</v>
      </c>
      <c r="J25" s="1" t="s">
        <v>89</v>
      </c>
      <c r="L25" s="1" t="s">
        <v>47</v>
      </c>
      <c r="O25" s="66" t="n">
        <f aca="false">$AG$128</f>
        <v>0.5</v>
      </c>
      <c r="Q25" s="4" t="s">
        <v>57</v>
      </c>
      <c r="U25" s="67" t="n">
        <f aca="false">$U$11</f>
        <v>0.75</v>
      </c>
      <c r="V25" s="59"/>
      <c r="W25" s="45" t="n">
        <f aca="false">O25-U25</f>
        <v>-0.25</v>
      </c>
      <c r="X25" s="46"/>
      <c r="AD25" s="4" t="s">
        <v>90</v>
      </c>
      <c r="AG25" s="4" t="n">
        <f aca="false">0.25*1+0.25*2+0.25*1</f>
        <v>1</v>
      </c>
      <c r="AW25" s="4" t="s">
        <v>91</v>
      </c>
      <c r="AX25" s="4" t="n">
        <f aca="false">0.25*1+0.25*2+0.25*1</f>
        <v>1</v>
      </c>
    </row>
    <row r="26" customFormat="false" ht="15" hidden="false" customHeight="false" outlineLevel="0" collapsed="false">
      <c r="B26" s="1" t="s">
        <v>92</v>
      </c>
      <c r="J26" s="1" t="s">
        <v>93</v>
      </c>
      <c r="L26" s="1" t="s">
        <v>47</v>
      </c>
      <c r="O26" s="11" t="n">
        <f aca="false">$AG$139</f>
        <v>1</v>
      </c>
      <c r="Q26" s="4" t="s">
        <v>61</v>
      </c>
      <c r="U26" s="68" t="n">
        <f aca="false">$U$12</f>
        <v>0.25</v>
      </c>
      <c r="V26" s="59"/>
      <c r="W26" s="45" t="n">
        <f aca="false">O26-U26</f>
        <v>0.75</v>
      </c>
      <c r="X26" s="46"/>
      <c r="Z26" s="4" t="s">
        <v>94</v>
      </c>
      <c r="AF26" s="5" t="s">
        <v>14</v>
      </c>
      <c r="AG26" s="6" t="n">
        <v>0</v>
      </c>
      <c r="AH26" s="6" t="n">
        <v>1</v>
      </c>
      <c r="AI26" s="6" t="n">
        <v>0</v>
      </c>
      <c r="AJ26" s="6" t="n">
        <v>1</v>
      </c>
      <c r="AK26" s="6" t="n">
        <v>0</v>
      </c>
      <c r="AL26" s="6" t="n">
        <v>1</v>
      </c>
      <c r="AM26" s="6" t="n">
        <v>0</v>
      </c>
      <c r="AN26" s="6" t="n">
        <v>1</v>
      </c>
    </row>
    <row r="27" customFormat="false" ht="15" hidden="false" customHeight="false" outlineLevel="0" collapsed="false">
      <c r="B27" s="1" t="s">
        <v>95</v>
      </c>
      <c r="O27" s="69"/>
      <c r="AF27" s="5" t="s">
        <v>15</v>
      </c>
      <c r="AG27" s="6" t="n">
        <v>0</v>
      </c>
      <c r="AH27" s="6" t="n">
        <v>0</v>
      </c>
      <c r="AI27" s="6" t="n">
        <v>1</v>
      </c>
      <c r="AJ27" s="6" t="n">
        <v>1</v>
      </c>
      <c r="AK27" s="6" t="n">
        <v>0</v>
      </c>
      <c r="AL27" s="6" t="n">
        <v>0</v>
      </c>
      <c r="AM27" s="6" t="n">
        <v>1</v>
      </c>
      <c r="AN27" s="6" t="n">
        <v>1</v>
      </c>
      <c r="AW27" s="5" t="s">
        <v>14</v>
      </c>
      <c r="AX27" s="6" t="n">
        <v>0</v>
      </c>
      <c r="AY27" s="6" t="n">
        <v>1</v>
      </c>
      <c r="AZ27" s="6" t="n">
        <v>0</v>
      </c>
      <c r="BA27" s="6" t="n">
        <v>1</v>
      </c>
      <c r="BB27" s="6" t="n">
        <v>0</v>
      </c>
      <c r="BC27" s="6" t="n">
        <v>1</v>
      </c>
      <c r="BD27" s="6" t="n">
        <v>0</v>
      </c>
      <c r="BE27" s="6" t="n">
        <v>1</v>
      </c>
    </row>
    <row r="28" customFormat="false" ht="15" hidden="false" customHeight="false" outlineLevel="0" collapsed="false">
      <c r="B28" s="1" t="s">
        <v>96</v>
      </c>
      <c r="D28" s="1" t="s">
        <v>97</v>
      </c>
      <c r="AF28" s="5" t="s">
        <v>16</v>
      </c>
      <c r="AG28" s="6" t="n">
        <v>0</v>
      </c>
      <c r="AH28" s="6" t="n">
        <v>0</v>
      </c>
      <c r="AI28" s="6" t="n">
        <v>0</v>
      </c>
      <c r="AJ28" s="6" t="n">
        <v>0</v>
      </c>
      <c r="AK28" s="6" t="n">
        <v>1</v>
      </c>
      <c r="AL28" s="6" t="n">
        <v>1</v>
      </c>
      <c r="AM28" s="6" t="n">
        <v>1</v>
      </c>
      <c r="AN28" s="6" t="n">
        <v>1</v>
      </c>
      <c r="AW28" s="5" t="s">
        <v>15</v>
      </c>
      <c r="AX28" s="6" t="n">
        <v>0</v>
      </c>
      <c r="AY28" s="6" t="n">
        <v>0</v>
      </c>
      <c r="AZ28" s="6" t="n">
        <v>1</v>
      </c>
      <c r="BA28" s="6" t="n">
        <v>1</v>
      </c>
      <c r="BB28" s="6" t="n">
        <v>0</v>
      </c>
      <c r="BC28" s="6" t="n">
        <v>0</v>
      </c>
      <c r="BD28" s="6" t="n">
        <v>1</v>
      </c>
      <c r="BE28" s="6" t="n">
        <v>1</v>
      </c>
    </row>
    <row r="29" customFormat="false" ht="15" hidden="false" customHeight="false" outlineLevel="0" collapsed="false">
      <c r="A29" s="1" t="s">
        <v>98</v>
      </c>
      <c r="J29" s="37" t="s">
        <v>38</v>
      </c>
      <c r="K29" s="37"/>
      <c r="L29" s="4" t="s">
        <v>39</v>
      </c>
      <c r="N29" s="33" t="s">
        <v>71</v>
      </c>
      <c r="O29" s="33"/>
      <c r="Q29" s="37" t="s">
        <v>41</v>
      </c>
      <c r="R29" s="37"/>
      <c r="S29" s="37"/>
      <c r="T29" s="37"/>
      <c r="U29" s="33" t="s">
        <v>42</v>
      </c>
      <c r="V29" s="33"/>
      <c r="W29" s="32" t="s">
        <v>43</v>
      </c>
      <c r="AA29" s="34" t="s">
        <v>14</v>
      </c>
      <c r="AB29" s="34" t="s">
        <v>16</v>
      </c>
      <c r="AE29" s="34" t="s">
        <v>15</v>
      </c>
      <c r="AQ29" s="5" t="s">
        <v>16</v>
      </c>
      <c r="AU29" s="34" t="s">
        <v>14</v>
      </c>
      <c r="AV29" s="34" t="s">
        <v>15</v>
      </c>
      <c r="AW29" s="5" t="s">
        <v>16</v>
      </c>
      <c r="AX29" s="6" t="n">
        <v>0</v>
      </c>
      <c r="AY29" s="6" t="n">
        <v>0</v>
      </c>
      <c r="AZ29" s="6" t="n">
        <v>0</v>
      </c>
      <c r="BA29" s="6" t="n">
        <v>0</v>
      </c>
      <c r="BB29" s="6" t="n">
        <v>1</v>
      </c>
      <c r="BC29" s="6" t="n">
        <v>1</v>
      </c>
      <c r="BD29" s="6" t="n">
        <v>1</v>
      </c>
      <c r="BE29" s="6" t="n">
        <v>1</v>
      </c>
    </row>
    <row r="30" customFormat="false" ht="15" hidden="false" customHeight="false" outlineLevel="0" collapsed="false">
      <c r="B30" s="1" t="s">
        <v>99</v>
      </c>
      <c r="J30" s="1" t="s">
        <v>100</v>
      </c>
      <c r="L30" s="1" t="s">
        <v>47</v>
      </c>
      <c r="O30" s="70" t="n">
        <f aca="false">$AX$80</f>
        <v>0.25</v>
      </c>
      <c r="Q30" s="4" t="s">
        <v>54</v>
      </c>
      <c r="U30" s="58" t="n">
        <f aca="false">$U$10</f>
        <v>1</v>
      </c>
      <c r="V30" s="59"/>
      <c r="W30" s="71" t="n">
        <f aca="false">O30-U30</f>
        <v>-0.75</v>
      </c>
      <c r="X30" s="46"/>
      <c r="AA30" s="35" t="n">
        <v>1</v>
      </c>
      <c r="AB30" s="35" t="n">
        <v>0</v>
      </c>
      <c r="AC30" s="11" t="n">
        <v>1</v>
      </c>
      <c r="AE30" s="35" t="n">
        <v>0</v>
      </c>
      <c r="AG30" s="4" t="n">
        <f aca="false">3/16</f>
        <v>0.1875</v>
      </c>
      <c r="AH30" s="4" t="n">
        <f aca="false">3/16</f>
        <v>0.1875</v>
      </c>
      <c r="AI30" s="4" t="n">
        <f aca="false">1/16</f>
        <v>0.0625</v>
      </c>
      <c r="AJ30" s="4" t="n">
        <f aca="false">1/16</f>
        <v>0.0625</v>
      </c>
      <c r="AK30" s="4" t="n">
        <f aca="false">3/16</f>
        <v>0.1875</v>
      </c>
      <c r="AL30" s="4" t="n">
        <f aca="false">3/16</f>
        <v>0.1875</v>
      </c>
      <c r="AM30" s="4" t="n">
        <f aca="false">1/16</f>
        <v>0.0625</v>
      </c>
      <c r="AN30" s="4" t="n">
        <f aca="false">1/16</f>
        <v>0.0625</v>
      </c>
      <c r="AQ30" s="63" t="n">
        <v>0</v>
      </c>
      <c r="AR30" s="11" t="n">
        <v>1</v>
      </c>
      <c r="AU30" s="35" t="n">
        <v>1</v>
      </c>
      <c r="AV30" s="35" t="n">
        <v>0</v>
      </c>
      <c r="AX30" s="1" t="n">
        <v>0</v>
      </c>
      <c r="AY30" s="1" t="n">
        <v>0</v>
      </c>
      <c r="AZ30" s="1" t="n">
        <v>0</v>
      </c>
      <c r="BA30" s="1" t="n">
        <v>0</v>
      </c>
      <c r="BB30" s="4" t="n">
        <f aca="false">1/4</f>
        <v>0.25</v>
      </c>
      <c r="BC30" s="4" t="n">
        <f aca="false">1/4</f>
        <v>0.25</v>
      </c>
      <c r="BD30" s="4" t="n">
        <f aca="false">1/4</f>
        <v>0.25</v>
      </c>
      <c r="BE30" s="4" t="n">
        <f aca="false">1/4</f>
        <v>0.25</v>
      </c>
    </row>
    <row r="31" customFormat="false" ht="15" hidden="false" customHeight="false" outlineLevel="0" collapsed="false">
      <c r="B31" s="1" t="s">
        <v>101</v>
      </c>
      <c r="J31" s="1" t="s">
        <v>102</v>
      </c>
      <c r="L31" s="1" t="s">
        <v>47</v>
      </c>
      <c r="O31" s="72" t="n">
        <f aca="false">$AX$86</f>
        <v>1</v>
      </c>
      <c r="Q31" s="4" t="s">
        <v>61</v>
      </c>
      <c r="U31" s="68" t="n">
        <f aca="false">$U$12</f>
        <v>0.25</v>
      </c>
      <c r="V31" s="59"/>
      <c r="W31" s="45" t="n">
        <f aca="false">O31-U31</f>
        <v>0.75</v>
      </c>
      <c r="X31" s="46"/>
      <c r="AC31" s="34" t="s">
        <v>14</v>
      </c>
      <c r="AD31" s="34" t="s">
        <v>15</v>
      </c>
      <c r="AE31" s="34" t="s">
        <v>16</v>
      </c>
      <c r="AU31" s="34" t="s">
        <v>14</v>
      </c>
      <c r="AV31" s="34" t="s">
        <v>15</v>
      </c>
      <c r="AW31" s="34" t="s">
        <v>16</v>
      </c>
    </row>
    <row r="32" customFormat="false" ht="15" hidden="false" customHeight="false" outlineLevel="0" collapsed="false">
      <c r="B32" s="1" t="s">
        <v>103</v>
      </c>
      <c r="AC32" s="35" t="n">
        <v>1</v>
      </c>
      <c r="AD32" s="35" t="n">
        <v>0</v>
      </c>
      <c r="AE32" s="35" t="n">
        <v>0</v>
      </c>
      <c r="AG32" s="4" t="n">
        <f aca="false">AG30</f>
        <v>0.1875</v>
      </c>
      <c r="AH32" s="4" t="n">
        <f aca="false">AH30</f>
        <v>0.1875</v>
      </c>
      <c r="AI32" s="4" t="n">
        <f aca="false">AI30</f>
        <v>0.0625</v>
      </c>
      <c r="AJ32" s="4" t="n">
        <f aca="false">AJ30</f>
        <v>0.0625</v>
      </c>
      <c r="AK32" s="4" t="n">
        <f aca="false">AK30</f>
        <v>0.1875</v>
      </c>
      <c r="AL32" s="4" t="n">
        <f aca="false">AL30</f>
        <v>0.1875</v>
      </c>
      <c r="AM32" s="4" t="n">
        <f aca="false">AM30</f>
        <v>0.0625</v>
      </c>
      <c r="AN32" s="4" t="n">
        <f aca="false">AN30</f>
        <v>0.0625</v>
      </c>
      <c r="AU32" s="35" t="n">
        <v>1</v>
      </c>
      <c r="AV32" s="35" t="n">
        <v>0</v>
      </c>
      <c r="AW32" s="35" t="n">
        <v>0</v>
      </c>
      <c r="AX32" s="1" t="n">
        <v>0</v>
      </c>
      <c r="AY32" s="1" t="n">
        <v>0</v>
      </c>
      <c r="AZ32" s="1" t="n">
        <v>0</v>
      </c>
      <c r="BA32" s="1" t="n">
        <v>0</v>
      </c>
      <c r="BB32" s="4" t="n">
        <f aca="false">BB30</f>
        <v>0.25</v>
      </c>
      <c r="BC32" s="4" t="n">
        <f aca="false">BC30</f>
        <v>0.25</v>
      </c>
      <c r="BD32" s="4" t="n">
        <f aca="false">BD30</f>
        <v>0.25</v>
      </c>
      <c r="BE32" s="4" t="n">
        <f aca="false">BE30</f>
        <v>0.25</v>
      </c>
    </row>
    <row r="33" customFormat="false" ht="15" hidden="false" customHeight="false" outlineLevel="0" collapsed="false">
      <c r="B33" s="1" t="s">
        <v>104</v>
      </c>
      <c r="AG33" s="12" t="n">
        <v>0</v>
      </c>
      <c r="AH33" s="12" t="n">
        <v>0</v>
      </c>
      <c r="AI33" s="12" t="n">
        <v>0</v>
      </c>
      <c r="AJ33" s="12" t="n">
        <v>0</v>
      </c>
      <c r="AK33" s="12" t="n">
        <v>1</v>
      </c>
      <c r="AL33" s="12" t="n">
        <v>0</v>
      </c>
      <c r="AM33" s="12" t="n">
        <v>0</v>
      </c>
      <c r="AN33" s="12" t="n">
        <v>0</v>
      </c>
      <c r="AX33" s="12" t="n">
        <v>0</v>
      </c>
      <c r="AY33" s="12" t="n">
        <v>0</v>
      </c>
      <c r="AZ33" s="12" t="n">
        <v>0</v>
      </c>
      <c r="BA33" s="12" t="n">
        <v>0</v>
      </c>
      <c r="BB33" s="12" t="n">
        <v>1</v>
      </c>
      <c r="BC33" s="12" t="n">
        <v>0</v>
      </c>
      <c r="BD33" s="12" t="n">
        <v>0</v>
      </c>
      <c r="BE33" s="12" t="n">
        <v>0</v>
      </c>
    </row>
    <row r="34" customFormat="false" ht="15" hidden="false" customHeight="false" outlineLevel="0" collapsed="false">
      <c r="A34" s="1" t="s">
        <v>105</v>
      </c>
      <c r="AD34" s="1" t="s">
        <v>90</v>
      </c>
      <c r="AG34" s="1" t="n">
        <f aca="false">AG32*1+AH32*2+AI32*2+AJ32*3+AL32*1+AM32*1+AN32*2</f>
        <v>1.25</v>
      </c>
      <c r="AW34" s="1" t="s">
        <v>91</v>
      </c>
      <c r="AX34" s="1" t="n">
        <f aca="false">BC32*1+BD32*1+BE32*2</f>
        <v>1</v>
      </c>
    </row>
    <row r="35" customFormat="false" ht="15" hidden="false" customHeight="false" outlineLevel="0" collapsed="false">
      <c r="A35" s="73" t="s">
        <v>106</v>
      </c>
      <c r="Z35" s="4" t="s">
        <v>107</v>
      </c>
      <c r="AB35" s="4" t="s">
        <v>14</v>
      </c>
      <c r="AG35" s="5" t="s">
        <v>15</v>
      </c>
      <c r="AH35" s="6" t="n">
        <v>0</v>
      </c>
      <c r="AI35" s="6" t="n">
        <v>1</v>
      </c>
      <c r="AJ35" s="6" t="n">
        <v>0</v>
      </c>
      <c r="AK35" s="6" t="n">
        <v>1</v>
      </c>
      <c r="AX35" s="5" t="s">
        <v>15</v>
      </c>
      <c r="AY35" s="6" t="n">
        <v>0</v>
      </c>
      <c r="AZ35" s="6" t="n">
        <v>1</v>
      </c>
      <c r="BA35" s="6" t="n">
        <v>0</v>
      </c>
      <c r="BB35" s="6" t="n">
        <v>1</v>
      </c>
    </row>
    <row r="36" customFormat="false" ht="15" hidden="false" customHeight="false" outlineLevel="0" collapsed="false">
      <c r="A36" s="73" t="s">
        <v>108</v>
      </c>
      <c r="AB36" s="37" t="n">
        <v>0</v>
      </c>
      <c r="AC36" s="37" t="n">
        <v>1</v>
      </c>
      <c r="AG36" s="5" t="s">
        <v>16</v>
      </c>
      <c r="AH36" s="6" t="n">
        <v>0</v>
      </c>
      <c r="AI36" s="6" t="n">
        <v>0</v>
      </c>
      <c r="AJ36" s="6" t="n">
        <v>1</v>
      </c>
      <c r="AK36" s="6" t="n">
        <v>1</v>
      </c>
      <c r="AS36" s="37" t="s">
        <v>14</v>
      </c>
      <c r="AX36" s="5" t="s">
        <v>16</v>
      </c>
      <c r="AY36" s="6" t="n">
        <v>0</v>
      </c>
      <c r="AZ36" s="6" t="n">
        <v>0</v>
      </c>
      <c r="BA36" s="6" t="n">
        <v>1</v>
      </c>
      <c r="BB36" s="6" t="n">
        <v>1</v>
      </c>
    </row>
    <row r="37" customFormat="false" ht="15" hidden="false" customHeight="false" outlineLevel="0" collapsed="false">
      <c r="A37" s="74" t="s">
        <v>109</v>
      </c>
      <c r="AA37" s="34" t="s">
        <v>14</v>
      </c>
      <c r="AE37" s="75" t="s">
        <v>15</v>
      </c>
      <c r="AF37" s="75" t="s">
        <v>16</v>
      </c>
      <c r="AR37" s="35" t="n">
        <v>0</v>
      </c>
      <c r="AS37" s="35" t="n">
        <v>1</v>
      </c>
      <c r="AU37" s="34" t="s">
        <v>14</v>
      </c>
      <c r="AV37" s="34" t="s">
        <v>15</v>
      </c>
      <c r="AW37" s="34" t="s">
        <v>16</v>
      </c>
    </row>
    <row r="38" customFormat="false" ht="15" hidden="false" customHeight="false" outlineLevel="0" collapsed="false">
      <c r="A38" s="73" t="s">
        <v>110</v>
      </c>
      <c r="AA38" s="35" t="n">
        <v>1</v>
      </c>
      <c r="AB38" s="11" t="n">
        <v>0.25</v>
      </c>
      <c r="AC38" s="11" t="n">
        <v>0.75</v>
      </c>
      <c r="AE38" s="35" t="n">
        <v>0</v>
      </c>
      <c r="AF38" s="35" t="n">
        <v>0</v>
      </c>
      <c r="AH38" s="11" t="n">
        <v>0.5</v>
      </c>
      <c r="AI38" s="11" t="n">
        <v>0</v>
      </c>
      <c r="AJ38" s="11" t="n">
        <v>0.5</v>
      </c>
      <c r="AK38" s="11" t="n">
        <v>0</v>
      </c>
      <c r="AR38" s="76" t="n">
        <v>0.25</v>
      </c>
      <c r="AS38" s="76" t="n">
        <v>0.75</v>
      </c>
      <c r="AU38" s="35" t="n">
        <v>1</v>
      </c>
      <c r="AV38" s="35" t="n">
        <v>0</v>
      </c>
      <c r="AW38" s="35" t="n">
        <v>0</v>
      </c>
      <c r="AY38" s="11" t="n">
        <v>0</v>
      </c>
      <c r="AZ38" s="11" t="n">
        <v>0</v>
      </c>
      <c r="BA38" s="11" t="n">
        <v>1</v>
      </c>
      <c r="BB38" s="11" t="n">
        <v>0</v>
      </c>
    </row>
    <row r="39" customFormat="false" ht="15" hidden="false" customHeight="false" outlineLevel="0" collapsed="false">
      <c r="A39" s="73" t="s">
        <v>111</v>
      </c>
    </row>
    <row r="40" s="77" customFormat="true" ht="15" hidden="false" customHeight="false" outlineLevel="0" collapsed="false">
      <c r="A40" s="77" t="s">
        <v>112</v>
      </c>
      <c r="AF40" s="77" t="s">
        <v>14</v>
      </c>
      <c r="AG40" s="77" t="n">
        <v>0</v>
      </c>
      <c r="AH40" s="77" t="n">
        <v>1</v>
      </c>
      <c r="AI40" s="77" t="n">
        <v>0</v>
      </c>
      <c r="AJ40" s="77" t="n">
        <v>1</v>
      </c>
      <c r="AK40" s="77" t="n">
        <v>0</v>
      </c>
      <c r="AL40" s="77" t="n">
        <v>1</v>
      </c>
      <c r="AM40" s="77" t="n">
        <v>0</v>
      </c>
      <c r="AN40" s="77" t="n">
        <v>1</v>
      </c>
      <c r="AW40" s="77" t="s">
        <v>14</v>
      </c>
      <c r="AX40" s="77" t="n">
        <v>0</v>
      </c>
      <c r="AY40" s="77" t="n">
        <v>1</v>
      </c>
      <c r="AZ40" s="77" t="n">
        <v>0</v>
      </c>
      <c r="BA40" s="77" t="n">
        <v>1</v>
      </c>
      <c r="BB40" s="77" t="n">
        <v>0</v>
      </c>
      <c r="BC40" s="77" t="n">
        <v>1</v>
      </c>
      <c r="BD40" s="77" t="n">
        <v>0</v>
      </c>
      <c r="BE40" s="77" t="n">
        <v>1</v>
      </c>
    </row>
    <row r="41" customFormat="false" ht="15" hidden="false" customHeight="false" outlineLevel="0" collapsed="false">
      <c r="A41" s="1" t="s">
        <v>33</v>
      </c>
      <c r="AF41" s="5" t="s">
        <v>15</v>
      </c>
      <c r="AG41" s="6" t="n">
        <v>0</v>
      </c>
      <c r="AH41" s="6" t="n">
        <v>0</v>
      </c>
      <c r="AI41" s="6" t="n">
        <v>1</v>
      </c>
      <c r="AJ41" s="6" t="n">
        <v>1</v>
      </c>
      <c r="AK41" s="6" t="n">
        <v>0</v>
      </c>
      <c r="AL41" s="6" t="n">
        <v>0</v>
      </c>
      <c r="AM41" s="6" t="n">
        <v>1</v>
      </c>
      <c r="AN41" s="6" t="n">
        <v>1</v>
      </c>
      <c r="AW41" s="5" t="s">
        <v>15</v>
      </c>
      <c r="AX41" s="6" t="n">
        <v>0</v>
      </c>
      <c r="AY41" s="6" t="n">
        <v>0</v>
      </c>
      <c r="AZ41" s="6" t="n">
        <v>1</v>
      </c>
      <c r="BA41" s="6" t="n">
        <v>1</v>
      </c>
      <c r="BB41" s="6" t="n">
        <v>0</v>
      </c>
      <c r="BC41" s="6" t="n">
        <v>0</v>
      </c>
      <c r="BD41" s="6" t="n">
        <v>1</v>
      </c>
      <c r="BE41" s="6" t="n">
        <v>1</v>
      </c>
    </row>
    <row r="42" customFormat="false" ht="16.4" hidden="false" customHeight="false" outlineLevel="0" collapsed="false">
      <c r="A42" s="1" t="s">
        <v>36</v>
      </c>
      <c r="D42" s="1" t="s">
        <v>113</v>
      </c>
      <c r="F42" s="1" t="s">
        <v>114</v>
      </c>
      <c r="J42" s="37" t="s">
        <v>38</v>
      </c>
      <c r="K42" s="37"/>
      <c r="L42" s="4" t="s">
        <v>39</v>
      </c>
      <c r="N42" s="33" t="s">
        <v>71</v>
      </c>
      <c r="O42" s="33"/>
      <c r="P42" s="33"/>
      <c r="Q42" s="37" t="s">
        <v>41</v>
      </c>
      <c r="R42" s="37"/>
      <c r="S42" s="37"/>
      <c r="T42" s="37"/>
      <c r="U42" s="33" t="s">
        <v>42</v>
      </c>
      <c r="V42" s="33"/>
      <c r="W42" s="32" t="s">
        <v>43</v>
      </c>
      <c r="AC42" s="34" t="s">
        <v>14</v>
      </c>
      <c r="AD42" s="34" t="s">
        <v>15</v>
      </c>
      <c r="AE42" s="34" t="s">
        <v>16</v>
      </c>
      <c r="AF42" s="5" t="s">
        <v>16</v>
      </c>
      <c r="AG42" s="6" t="n">
        <v>0</v>
      </c>
      <c r="AH42" s="6" t="n">
        <v>0</v>
      </c>
      <c r="AI42" s="6" t="n">
        <v>0</v>
      </c>
      <c r="AJ42" s="6" t="n">
        <v>0</v>
      </c>
      <c r="AK42" s="6" t="n">
        <v>1</v>
      </c>
      <c r="AL42" s="6" t="n">
        <v>1</v>
      </c>
      <c r="AM42" s="6" t="n">
        <v>1</v>
      </c>
      <c r="AN42" s="6" t="n">
        <v>1</v>
      </c>
      <c r="AT42" s="34" t="s">
        <v>14</v>
      </c>
      <c r="AU42" s="34" t="s">
        <v>15</v>
      </c>
      <c r="AV42" s="34" t="s">
        <v>16</v>
      </c>
      <c r="AW42" s="5" t="s">
        <v>16</v>
      </c>
      <c r="AX42" s="6" t="n">
        <v>0</v>
      </c>
      <c r="AY42" s="6" t="n">
        <v>0</v>
      </c>
      <c r="AZ42" s="6" t="n">
        <v>0</v>
      </c>
      <c r="BA42" s="6" t="n">
        <v>0</v>
      </c>
      <c r="BB42" s="6" t="n">
        <v>1</v>
      </c>
      <c r="BC42" s="6" t="n">
        <v>1</v>
      </c>
      <c r="BD42" s="6" t="n">
        <v>1</v>
      </c>
      <c r="BE42" s="6" t="n">
        <v>1</v>
      </c>
    </row>
    <row r="43" customFormat="false" ht="15" hidden="false" customHeight="false" outlineLevel="0" collapsed="false">
      <c r="B43" s="1" t="s">
        <v>45</v>
      </c>
      <c r="J43" s="1" t="s">
        <v>115</v>
      </c>
      <c r="L43" s="1" t="s">
        <v>47</v>
      </c>
      <c r="O43" s="42" t="n">
        <f aca="false">$AG$25</f>
        <v>1</v>
      </c>
      <c r="Q43" s="4" t="s">
        <v>48</v>
      </c>
      <c r="U43" s="78" t="n">
        <f aca="false">$AX$25</f>
        <v>1</v>
      </c>
      <c r="V43" s="79"/>
      <c r="W43" s="45" t="n">
        <f aca="false">O43-U43</f>
        <v>0</v>
      </c>
      <c r="X43" s="46"/>
      <c r="AC43" s="35" t="n">
        <v>1</v>
      </c>
      <c r="AD43" s="35" t="n">
        <v>0</v>
      </c>
      <c r="AE43" s="35" t="n">
        <v>0</v>
      </c>
      <c r="AG43" s="4" t="n">
        <f aca="false">AB38*AH38</f>
        <v>0.125</v>
      </c>
      <c r="AH43" s="4" t="n">
        <f aca="false">AC38*AH38</f>
        <v>0.375</v>
      </c>
      <c r="AI43" s="4" t="n">
        <f aca="false">AB38*AI38</f>
        <v>0</v>
      </c>
      <c r="AJ43" s="4" t="n">
        <f aca="false">AC38*AI38</f>
        <v>0</v>
      </c>
      <c r="AK43" s="4" t="n">
        <f aca="false">AB38*AJ38</f>
        <v>0.125</v>
      </c>
      <c r="AL43" s="4" t="n">
        <f aca="false">AC38*AJ38</f>
        <v>0.375</v>
      </c>
      <c r="AM43" s="4" t="n">
        <f aca="false">AB38*AK38</f>
        <v>0</v>
      </c>
      <c r="AN43" s="4" t="n">
        <f aca="false">AC38*AK38</f>
        <v>0</v>
      </c>
      <c r="AT43" s="35" t="n">
        <v>1</v>
      </c>
      <c r="AU43" s="35" t="n">
        <v>0</v>
      </c>
      <c r="AV43" s="35" t="n">
        <v>0</v>
      </c>
      <c r="AX43" s="4" t="n">
        <f aca="false">AR38*AY38</f>
        <v>0</v>
      </c>
      <c r="AY43" s="4" t="n">
        <f aca="false">AS38*AY38</f>
        <v>0</v>
      </c>
      <c r="AZ43" s="4" t="n">
        <f aca="false">AR38*AZ38</f>
        <v>0</v>
      </c>
      <c r="BA43" s="4" t="n">
        <f aca="false">AS38*AZ38</f>
        <v>0</v>
      </c>
      <c r="BB43" s="4" t="n">
        <f aca="false">AR38*BA38</f>
        <v>0.25</v>
      </c>
      <c r="BC43" s="4" t="n">
        <f aca="false">AS38*BA38</f>
        <v>0.75</v>
      </c>
      <c r="BD43" s="4" t="n">
        <f aca="false">AR38*BB38</f>
        <v>0</v>
      </c>
      <c r="BE43" s="4" t="n">
        <f aca="false">BB38</f>
        <v>0</v>
      </c>
    </row>
    <row r="44" customFormat="false" ht="15" hidden="false" customHeight="false" outlineLevel="0" collapsed="false">
      <c r="B44" s="1" t="s">
        <v>55</v>
      </c>
      <c r="J44" s="1" t="s">
        <v>116</v>
      </c>
      <c r="L44" s="1" t="s">
        <v>47</v>
      </c>
      <c r="O44" s="52" t="n">
        <f aca="false">$AG$45</f>
        <v>1.25</v>
      </c>
      <c r="Q44" s="4" t="s">
        <v>57</v>
      </c>
      <c r="U44" s="61" t="n">
        <f aca="false">$AX$45</f>
        <v>0.75</v>
      </c>
      <c r="V44" s="80"/>
      <c r="W44" s="45" t="n">
        <f aca="false">O44-U44</f>
        <v>0.5</v>
      </c>
      <c r="X44" s="46"/>
      <c r="AG44" s="12" t="n">
        <v>0</v>
      </c>
      <c r="AH44" s="12" t="n">
        <v>0</v>
      </c>
      <c r="AI44" s="12" t="n">
        <v>0</v>
      </c>
      <c r="AJ44" s="12" t="n">
        <v>0</v>
      </c>
      <c r="AK44" s="12" t="n">
        <v>1</v>
      </c>
      <c r="AL44" s="12" t="n">
        <v>0</v>
      </c>
      <c r="AM44" s="12" t="n">
        <v>0</v>
      </c>
      <c r="AN44" s="12" t="n">
        <v>0</v>
      </c>
      <c r="AX44" s="12" t="n">
        <v>0</v>
      </c>
      <c r="AY44" s="12" t="n">
        <v>0</v>
      </c>
      <c r="AZ44" s="12" t="n">
        <v>0</v>
      </c>
      <c r="BA44" s="12" t="n">
        <v>0</v>
      </c>
      <c r="BB44" s="12" t="n">
        <v>1</v>
      </c>
      <c r="BC44" s="12" t="n">
        <v>0</v>
      </c>
      <c r="BD44" s="12" t="n">
        <v>0</v>
      </c>
      <c r="BE44" s="12" t="n">
        <v>0</v>
      </c>
    </row>
    <row r="45" customFormat="false" ht="15" hidden="false" customHeight="false" outlineLevel="0" collapsed="false">
      <c r="B45" s="1" t="s">
        <v>117</v>
      </c>
      <c r="J45" s="1" t="s">
        <v>118</v>
      </c>
      <c r="L45" s="1" t="s">
        <v>47</v>
      </c>
      <c r="O45" s="11" t="n">
        <f aca="false">$AX$96</f>
        <v>1</v>
      </c>
      <c r="Q45" s="4" t="s">
        <v>119</v>
      </c>
      <c r="U45" s="81" t="n">
        <f aca="false">$BL$96</f>
        <v>0.5</v>
      </c>
      <c r="V45" s="82"/>
      <c r="W45" s="45" t="n">
        <f aca="false">O45-U45</f>
        <v>0.5</v>
      </c>
      <c r="X45" s="46"/>
      <c r="AD45" s="4" t="s">
        <v>90</v>
      </c>
      <c r="AG45" s="4" t="n">
        <f aca="false">AG43*1+AH43*2+AL43*1</f>
        <v>1.25</v>
      </c>
      <c r="AW45" s="4" t="s">
        <v>91</v>
      </c>
      <c r="AX45" s="4" t="n">
        <f aca="false">0.75*1</f>
        <v>0.75</v>
      </c>
    </row>
    <row r="46" customFormat="false" ht="15" hidden="false" customHeight="false" outlineLevel="0" collapsed="false">
      <c r="B46" s="1" t="s">
        <v>62</v>
      </c>
      <c r="J46" s="1" t="s">
        <v>120</v>
      </c>
      <c r="L46" s="1" t="s">
        <v>47</v>
      </c>
      <c r="O46" s="55" t="n">
        <f aca="false">$AG$68</f>
        <v>0.5</v>
      </c>
      <c r="Q46" s="4" t="s">
        <v>64</v>
      </c>
      <c r="U46" s="65" t="n">
        <f aca="false">$AX$68</f>
        <v>0.5</v>
      </c>
      <c r="V46" s="65"/>
      <c r="W46" s="45" t="n">
        <f aca="false">O46-U46</f>
        <v>0</v>
      </c>
      <c r="X46" s="46"/>
      <c r="Z46" s="4" t="s">
        <v>121</v>
      </c>
      <c r="AB46" s="4" t="s">
        <v>15</v>
      </c>
      <c r="AG46" s="5" t="s">
        <v>14</v>
      </c>
      <c r="AH46" s="6" t="n">
        <v>0</v>
      </c>
      <c r="AI46" s="6" t="n">
        <v>1</v>
      </c>
      <c r="AJ46" s="6" t="n">
        <v>0</v>
      </c>
      <c r="AK46" s="6" t="n">
        <v>1</v>
      </c>
      <c r="AX46" s="5" t="s">
        <v>14</v>
      </c>
      <c r="AY46" s="6" t="n">
        <v>0</v>
      </c>
      <c r="AZ46" s="6" t="n">
        <v>1</v>
      </c>
      <c r="BA46" s="6" t="n">
        <v>0</v>
      </c>
      <c r="BB46" s="6" t="n">
        <v>1</v>
      </c>
    </row>
    <row r="47" customFormat="false" ht="16.4" hidden="false" customHeight="false" outlineLevel="0" collapsed="false">
      <c r="B47" s="1" t="s">
        <v>122</v>
      </c>
      <c r="AB47" s="37" t="n">
        <v>0</v>
      </c>
      <c r="AC47" s="37" t="n">
        <v>1</v>
      </c>
      <c r="AG47" s="5" t="s">
        <v>16</v>
      </c>
      <c r="AH47" s="6" t="n">
        <v>0</v>
      </c>
      <c r="AI47" s="6" t="n">
        <v>0</v>
      </c>
      <c r="AJ47" s="6" t="n">
        <v>1</v>
      </c>
      <c r="AK47" s="6" t="n">
        <v>1</v>
      </c>
      <c r="AS47" s="37" t="s">
        <v>15</v>
      </c>
      <c r="AX47" s="5" t="s">
        <v>16</v>
      </c>
      <c r="AY47" s="6" t="n">
        <v>0</v>
      </c>
      <c r="AZ47" s="6" t="n">
        <v>0</v>
      </c>
      <c r="BA47" s="6" t="n">
        <v>1</v>
      </c>
      <c r="BB47" s="6" t="n">
        <v>1</v>
      </c>
    </row>
    <row r="48" customFormat="false" ht="15" hidden="false" customHeight="false" outlineLevel="0" collapsed="false">
      <c r="B48" s="1" t="s">
        <v>66</v>
      </c>
      <c r="AA48" s="34" t="s">
        <v>14</v>
      </c>
      <c r="AE48" s="75" t="s">
        <v>15</v>
      </c>
      <c r="AF48" s="75" t="s">
        <v>16</v>
      </c>
      <c r="AR48" s="35" t="n">
        <v>0</v>
      </c>
      <c r="AS48" s="35" t="n">
        <v>1</v>
      </c>
      <c r="AU48" s="34" t="s">
        <v>14</v>
      </c>
      <c r="AV48" s="34" t="s">
        <v>15</v>
      </c>
      <c r="AW48" s="34" t="s">
        <v>16</v>
      </c>
    </row>
    <row r="49" customFormat="false" ht="15" hidden="false" customHeight="false" outlineLevel="0" collapsed="false">
      <c r="AA49" s="35" t="n">
        <v>1</v>
      </c>
      <c r="AB49" s="1" t="n">
        <v>0.5</v>
      </c>
      <c r="AC49" s="1" t="n">
        <v>0.5</v>
      </c>
      <c r="AE49" s="1" t="n">
        <v>1</v>
      </c>
      <c r="AF49" s="1" t="n">
        <v>0</v>
      </c>
      <c r="AH49" s="11" t="n">
        <v>0.5</v>
      </c>
      <c r="AI49" s="11" t="n">
        <v>0</v>
      </c>
      <c r="AJ49" s="11" t="n">
        <v>0.5</v>
      </c>
      <c r="AK49" s="11" t="n">
        <v>0</v>
      </c>
      <c r="AR49" s="1" t="n">
        <v>0.75</v>
      </c>
      <c r="AS49" s="1" t="n">
        <v>0.25</v>
      </c>
      <c r="AU49" s="35" t="n">
        <v>1</v>
      </c>
      <c r="AV49" s="35" t="n">
        <v>0</v>
      </c>
      <c r="AW49" s="35" t="n">
        <v>0</v>
      </c>
      <c r="AY49" s="1" t="n">
        <v>0</v>
      </c>
      <c r="AZ49" s="1" t="n">
        <v>0</v>
      </c>
      <c r="BA49" s="1" t="n">
        <v>1</v>
      </c>
      <c r="BB49" s="1" t="n">
        <v>0</v>
      </c>
    </row>
    <row r="50" customFormat="false" ht="15" hidden="false" customHeight="false" outlineLevel="0" collapsed="false">
      <c r="A50" s="1" t="s">
        <v>123</v>
      </c>
      <c r="D50" s="1" t="s">
        <v>124</v>
      </c>
      <c r="J50" s="37" t="s">
        <v>38</v>
      </c>
      <c r="K50" s="37"/>
      <c r="L50" s="4" t="s">
        <v>125</v>
      </c>
      <c r="N50" s="33" t="s">
        <v>71</v>
      </c>
      <c r="O50" s="33"/>
      <c r="P50" s="33"/>
      <c r="Q50" s="37" t="s">
        <v>41</v>
      </c>
      <c r="R50" s="37"/>
      <c r="S50" s="37"/>
      <c r="T50" s="37"/>
      <c r="U50" s="33" t="s">
        <v>42</v>
      </c>
      <c r="V50" s="33"/>
      <c r="W50" s="32" t="s">
        <v>43</v>
      </c>
    </row>
    <row r="51" customFormat="false" ht="15" hidden="false" customHeight="false" outlineLevel="0" collapsed="false">
      <c r="B51" s="1" t="s">
        <v>126</v>
      </c>
      <c r="J51" s="1" t="s">
        <v>127</v>
      </c>
      <c r="L51" s="1" t="s">
        <v>47</v>
      </c>
      <c r="O51" s="60" t="n">
        <f aca="false">$AX$106</f>
        <v>1</v>
      </c>
      <c r="Q51" s="4" t="s">
        <v>57</v>
      </c>
      <c r="U51" s="61" t="n">
        <f aca="false">$AX$45</f>
        <v>0.75</v>
      </c>
      <c r="V51" s="80"/>
      <c r="W51" s="45" t="n">
        <f aca="false">O51-U51</f>
        <v>0.25</v>
      </c>
      <c r="X51" s="46"/>
      <c r="AF51" s="5" t="s">
        <v>14</v>
      </c>
      <c r="AG51" s="6" t="n">
        <v>0</v>
      </c>
      <c r="AH51" s="6" t="n">
        <v>1</v>
      </c>
      <c r="AI51" s="6" t="n">
        <v>0</v>
      </c>
      <c r="AJ51" s="6" t="n">
        <v>1</v>
      </c>
      <c r="AK51" s="6" t="n">
        <v>0</v>
      </c>
      <c r="AL51" s="6" t="n">
        <v>1</v>
      </c>
      <c r="AM51" s="6" t="n">
        <v>0</v>
      </c>
      <c r="AN51" s="6" t="n">
        <v>1</v>
      </c>
      <c r="AW51" s="5" t="s">
        <v>14</v>
      </c>
      <c r="AX51" s="6" t="n">
        <v>0</v>
      </c>
      <c r="AY51" s="6" t="n">
        <v>1</v>
      </c>
      <c r="AZ51" s="6" t="n">
        <v>0</v>
      </c>
      <c r="BA51" s="6" t="n">
        <v>1</v>
      </c>
      <c r="BB51" s="6" t="n">
        <v>0</v>
      </c>
      <c r="BC51" s="6" t="n">
        <v>1</v>
      </c>
      <c r="BD51" s="6" t="n">
        <v>0</v>
      </c>
      <c r="BE51" s="6" t="n">
        <v>1</v>
      </c>
    </row>
    <row r="52" customFormat="false" ht="15" hidden="false" customHeight="false" outlineLevel="0" collapsed="false">
      <c r="B52" s="1" t="s">
        <v>128</v>
      </c>
      <c r="J52" s="1" t="s">
        <v>129</v>
      </c>
      <c r="L52" s="1" t="s">
        <v>47</v>
      </c>
      <c r="O52" s="11" t="n">
        <f aca="false">$AX$116</f>
        <v>1.25</v>
      </c>
      <c r="Q52" s="4" t="s">
        <v>119</v>
      </c>
      <c r="U52" s="82" t="n">
        <f aca="false">$BL$96</f>
        <v>0.5</v>
      </c>
      <c r="V52" s="82"/>
      <c r="W52" s="45" t="n">
        <f aca="false">O52-U52</f>
        <v>0.75</v>
      </c>
      <c r="X52" s="46"/>
      <c r="AF52" s="5" t="s">
        <v>15</v>
      </c>
      <c r="AG52" s="6" t="n">
        <v>0</v>
      </c>
      <c r="AH52" s="6" t="n">
        <v>0</v>
      </c>
      <c r="AI52" s="6" t="n">
        <v>1</v>
      </c>
      <c r="AJ52" s="6" t="n">
        <v>1</v>
      </c>
      <c r="AK52" s="6" t="n">
        <v>0</v>
      </c>
      <c r="AL52" s="6" t="n">
        <v>0</v>
      </c>
      <c r="AM52" s="6" t="n">
        <v>1</v>
      </c>
      <c r="AN52" s="6" t="n">
        <v>1</v>
      </c>
      <c r="AW52" s="5" t="s">
        <v>15</v>
      </c>
      <c r="AX52" s="6" t="n">
        <v>0</v>
      </c>
      <c r="AY52" s="6" t="n">
        <v>0</v>
      </c>
      <c r="AZ52" s="6" t="n">
        <v>1</v>
      </c>
      <c r="BA52" s="6" t="n">
        <v>1</v>
      </c>
      <c r="BB52" s="6" t="n">
        <v>0</v>
      </c>
      <c r="BC52" s="6" t="n">
        <v>0</v>
      </c>
      <c r="BD52" s="6" t="n">
        <v>1</v>
      </c>
      <c r="BE52" s="6" t="n">
        <v>1</v>
      </c>
    </row>
    <row r="53" customFormat="false" ht="15" hidden="false" customHeight="false" outlineLevel="0" collapsed="false">
      <c r="B53" s="1" t="s">
        <v>130</v>
      </c>
      <c r="J53" s="1" t="s">
        <v>131</v>
      </c>
      <c r="L53" s="1" t="s">
        <v>47</v>
      </c>
      <c r="O53" s="64" t="n">
        <f aca="false">$AG$107</f>
        <v>0.5</v>
      </c>
      <c r="Q53" s="4" t="s">
        <v>64</v>
      </c>
      <c r="U53" s="83" t="n">
        <f aca="false">$AX$68</f>
        <v>0.5</v>
      </c>
      <c r="V53" s="65"/>
      <c r="W53" s="45" t="n">
        <f aca="false">O53-U53</f>
        <v>0</v>
      </c>
      <c r="X53" s="46"/>
      <c r="AC53" s="34" t="s">
        <v>14</v>
      </c>
      <c r="AD53" s="34" t="s">
        <v>15</v>
      </c>
      <c r="AE53" s="34" t="s">
        <v>16</v>
      </c>
      <c r="AF53" s="5" t="s">
        <v>16</v>
      </c>
      <c r="AG53" s="6" t="n">
        <v>0</v>
      </c>
      <c r="AH53" s="6" t="n">
        <v>0</v>
      </c>
      <c r="AI53" s="6" t="n">
        <v>0</v>
      </c>
      <c r="AJ53" s="6" t="n">
        <v>0</v>
      </c>
      <c r="AK53" s="6" t="n">
        <v>1</v>
      </c>
      <c r="AL53" s="6" t="n">
        <v>1</v>
      </c>
      <c r="AM53" s="6" t="n">
        <v>1</v>
      </c>
      <c r="AN53" s="6" t="n">
        <v>1</v>
      </c>
      <c r="AT53" s="34" t="s">
        <v>14</v>
      </c>
      <c r="AU53" s="34" t="s">
        <v>15</v>
      </c>
      <c r="AV53" s="34" t="s">
        <v>16</v>
      </c>
      <c r="AW53" s="5" t="s">
        <v>16</v>
      </c>
      <c r="AX53" s="6" t="n">
        <v>0</v>
      </c>
      <c r="AY53" s="6" t="n">
        <v>0</v>
      </c>
      <c r="AZ53" s="6" t="n">
        <v>0</v>
      </c>
      <c r="BA53" s="6" t="n">
        <v>0</v>
      </c>
      <c r="BB53" s="6" t="n">
        <v>1</v>
      </c>
      <c r="BC53" s="6" t="n">
        <v>1</v>
      </c>
      <c r="BD53" s="6" t="n">
        <v>1</v>
      </c>
      <c r="BE53" s="6" t="n">
        <v>1</v>
      </c>
    </row>
    <row r="54" customFormat="false" ht="16.4" hidden="false" customHeight="false" outlineLevel="0" collapsed="false">
      <c r="B54" s="1" t="s">
        <v>132</v>
      </c>
      <c r="AC54" s="35" t="n">
        <v>1</v>
      </c>
      <c r="AD54" s="35" t="n">
        <v>0</v>
      </c>
      <c r="AE54" s="35" t="n">
        <v>0</v>
      </c>
      <c r="AG54" s="11" t="n">
        <f aca="false">AB49*AH49</f>
        <v>0.25</v>
      </c>
      <c r="AH54" s="11" t="n">
        <f aca="false">AB49*AI49</f>
        <v>0</v>
      </c>
      <c r="AI54" s="11" t="n">
        <f aca="false">AC49*AH49</f>
        <v>0.25</v>
      </c>
      <c r="AJ54" s="84" t="n">
        <f aca="false">AC49*AI49</f>
        <v>0</v>
      </c>
      <c r="AK54" s="11" t="n">
        <f aca="false">AB49*AJ49</f>
        <v>0.25</v>
      </c>
      <c r="AL54" s="11" t="n">
        <f aca="false">AB49*AK49</f>
        <v>0</v>
      </c>
      <c r="AM54" s="11" t="n">
        <f aca="false">AC49*AJ49</f>
        <v>0.25</v>
      </c>
      <c r="AN54" s="11" t="n">
        <f aca="false">AC49*AK49</f>
        <v>0</v>
      </c>
      <c r="AT54" s="35" t="n">
        <v>1</v>
      </c>
      <c r="AU54" s="35" t="n">
        <v>0</v>
      </c>
      <c r="AV54" s="35" t="n">
        <v>0</v>
      </c>
      <c r="AX54" s="4" t="n">
        <f aca="false">AR49*AY49</f>
        <v>0</v>
      </c>
      <c r="AY54" s="4" t="n">
        <f aca="false">AR49*AZ49</f>
        <v>0</v>
      </c>
      <c r="AZ54" s="4" t="n">
        <f aca="false">AS49*AY49</f>
        <v>0</v>
      </c>
      <c r="BA54" s="4" t="n">
        <f aca="false">AS49*AZ49</f>
        <v>0</v>
      </c>
      <c r="BB54" s="4" t="n">
        <f aca="false">AR49*BA49</f>
        <v>0.75</v>
      </c>
      <c r="BC54" s="4" t="n">
        <f aca="false">AR49*BB49</f>
        <v>0</v>
      </c>
      <c r="BD54" s="4" t="n">
        <f aca="false">AS49*BA49</f>
        <v>0.25</v>
      </c>
      <c r="BE54" s="4" t="n">
        <f aca="false">BB49*AS49</f>
        <v>0</v>
      </c>
    </row>
    <row r="55" customFormat="false" ht="15" hidden="false" customHeight="false" outlineLevel="0" collapsed="false">
      <c r="B55" s="1" t="s">
        <v>133</v>
      </c>
      <c r="AG55" s="12" t="n">
        <v>0</v>
      </c>
      <c r="AH55" s="12" t="n">
        <v>0</v>
      </c>
      <c r="AI55" s="12" t="n">
        <v>0</v>
      </c>
      <c r="AJ55" s="12" t="n">
        <v>0</v>
      </c>
      <c r="AK55" s="12" t="n">
        <v>1</v>
      </c>
      <c r="AL55" s="12" t="n">
        <v>0</v>
      </c>
      <c r="AM55" s="12" t="n">
        <v>0</v>
      </c>
      <c r="AN55" s="12" t="n">
        <v>0</v>
      </c>
      <c r="AX55" s="12" t="n">
        <v>0</v>
      </c>
      <c r="AY55" s="12" t="n">
        <v>0</v>
      </c>
      <c r="AZ55" s="12" t="n">
        <v>0</v>
      </c>
      <c r="BA55" s="12" t="n">
        <v>0</v>
      </c>
      <c r="BB55" s="12" t="n">
        <v>1</v>
      </c>
      <c r="BC55" s="12" t="n">
        <v>0</v>
      </c>
      <c r="BD55" s="12" t="n">
        <v>0</v>
      </c>
      <c r="BE55" s="12" t="n">
        <v>0</v>
      </c>
    </row>
    <row r="56" customFormat="false" ht="15" hidden="false" customHeight="false" outlineLevel="0" collapsed="false">
      <c r="AD56" s="1" t="s">
        <v>90</v>
      </c>
      <c r="AG56" s="1" t="n">
        <f aca="false">AG54*1+AI54*2+AM54*1</f>
        <v>1</v>
      </c>
      <c r="AW56" s="1" t="s">
        <v>91</v>
      </c>
      <c r="AX56" s="1" t="n">
        <f aca="false">BD54*1</f>
        <v>0.25</v>
      </c>
    </row>
    <row r="57" customFormat="false" ht="15" hidden="false" customHeight="false" outlineLevel="0" collapsed="false">
      <c r="A57" s="1" t="s">
        <v>134</v>
      </c>
      <c r="D57" s="1" t="s">
        <v>135</v>
      </c>
      <c r="J57" s="37" t="s">
        <v>38</v>
      </c>
      <c r="K57" s="37"/>
      <c r="L57" s="4" t="s">
        <v>125</v>
      </c>
      <c r="N57" s="33" t="s">
        <v>71</v>
      </c>
      <c r="O57" s="33"/>
      <c r="P57" s="33"/>
      <c r="Q57" s="37" t="s">
        <v>41</v>
      </c>
      <c r="R57" s="37"/>
      <c r="S57" s="37"/>
      <c r="T57" s="37"/>
      <c r="U57" s="33" t="s">
        <v>42</v>
      </c>
      <c r="V57" s="33"/>
      <c r="W57" s="32" t="s">
        <v>43</v>
      </c>
    </row>
    <row r="58" customFormat="false" ht="15" hidden="false" customHeight="false" outlineLevel="0" collapsed="false">
      <c r="B58" s="1" t="s">
        <v>136</v>
      </c>
      <c r="J58" s="1" t="s">
        <v>137</v>
      </c>
      <c r="L58" s="1" t="s">
        <v>47</v>
      </c>
      <c r="O58" s="67" t="n">
        <f aca="false">$U$11</f>
        <v>0.75</v>
      </c>
      <c r="Q58" s="4" t="s">
        <v>119</v>
      </c>
      <c r="U58" s="81" t="n">
        <f aca="false">$BL$96</f>
        <v>0.5</v>
      </c>
      <c r="V58" s="85"/>
      <c r="W58" s="45" t="n">
        <f aca="false">O58-U58</f>
        <v>0.25</v>
      </c>
      <c r="X58" s="46"/>
      <c r="Z58" s="4" t="s">
        <v>138</v>
      </c>
      <c r="AB58" s="4" t="s">
        <v>16</v>
      </c>
      <c r="AG58" s="5" t="s">
        <v>14</v>
      </c>
      <c r="AH58" s="6" t="n">
        <v>0</v>
      </c>
      <c r="AI58" s="6" t="n">
        <v>1</v>
      </c>
      <c r="AJ58" s="6" t="n">
        <v>0</v>
      </c>
      <c r="AK58" s="6" t="n">
        <v>1</v>
      </c>
      <c r="AX58" s="5" t="s">
        <v>14</v>
      </c>
      <c r="AY58" s="6" t="n">
        <v>0</v>
      </c>
      <c r="AZ58" s="6" t="n">
        <v>1</v>
      </c>
      <c r="BA58" s="6" t="n">
        <v>0</v>
      </c>
      <c r="BB58" s="6" t="n">
        <v>1</v>
      </c>
    </row>
    <row r="59" customFormat="false" ht="15" hidden="false" customHeight="false" outlineLevel="0" collapsed="false">
      <c r="B59" s="1" t="s">
        <v>139</v>
      </c>
      <c r="J59" s="1" t="s">
        <v>140</v>
      </c>
      <c r="L59" s="1" t="s">
        <v>47</v>
      </c>
      <c r="O59" s="81" t="n">
        <f aca="false">$BL$96</f>
        <v>0.5</v>
      </c>
      <c r="Q59" s="4" t="s">
        <v>141</v>
      </c>
      <c r="U59" s="67" t="n">
        <f aca="false">$U$11</f>
        <v>0.75</v>
      </c>
      <c r="V59" s="67"/>
      <c r="W59" s="45" t="n">
        <f aca="false">O59-U59</f>
        <v>-0.25</v>
      </c>
      <c r="X59" s="46"/>
      <c r="AB59" s="37" t="n">
        <v>0</v>
      </c>
      <c r="AC59" s="37" t="n">
        <v>1</v>
      </c>
      <c r="AG59" s="5" t="s">
        <v>15</v>
      </c>
      <c r="AH59" s="6" t="n">
        <v>0</v>
      </c>
      <c r="AI59" s="6" t="n">
        <v>0</v>
      </c>
      <c r="AJ59" s="6" t="n">
        <v>1</v>
      </c>
      <c r="AK59" s="6" t="n">
        <v>1</v>
      </c>
      <c r="AS59" s="37" t="s">
        <v>16</v>
      </c>
      <c r="AX59" s="5" t="s">
        <v>15</v>
      </c>
      <c r="AY59" s="6" t="n">
        <v>0</v>
      </c>
      <c r="AZ59" s="6" t="n">
        <v>0</v>
      </c>
      <c r="BA59" s="6" t="n">
        <v>1</v>
      </c>
      <c r="BB59" s="6" t="n">
        <v>1</v>
      </c>
    </row>
    <row r="60" customFormat="false" ht="16.4" hidden="false" customHeight="false" outlineLevel="0" collapsed="false">
      <c r="B60" s="1" t="s">
        <v>142</v>
      </c>
      <c r="AA60" s="34" t="s">
        <v>14</v>
      </c>
      <c r="AE60" s="75" t="s">
        <v>15</v>
      </c>
      <c r="AF60" s="75" t="s">
        <v>16</v>
      </c>
      <c r="AR60" s="35" t="n">
        <v>0</v>
      </c>
      <c r="AS60" s="35" t="n">
        <v>1</v>
      </c>
      <c r="AU60" s="34" t="s">
        <v>14</v>
      </c>
      <c r="AV60" s="34" t="s">
        <v>15</v>
      </c>
      <c r="AW60" s="34" t="s">
        <v>16</v>
      </c>
    </row>
    <row r="61" customFormat="false" ht="15" hidden="false" customHeight="false" outlineLevel="0" collapsed="false">
      <c r="B61" s="1" t="s">
        <v>143</v>
      </c>
      <c r="AA61" s="35" t="n">
        <v>1</v>
      </c>
      <c r="AB61" s="1" t="n">
        <v>0.5</v>
      </c>
      <c r="AC61" s="1" t="n">
        <v>0.5</v>
      </c>
      <c r="AE61" s="35" t="n">
        <v>0</v>
      </c>
      <c r="AF61" s="35" t="n">
        <v>0</v>
      </c>
      <c r="AH61" s="1" t="n">
        <v>1</v>
      </c>
      <c r="AI61" s="1" t="n">
        <v>0</v>
      </c>
      <c r="AJ61" s="1" t="n">
        <v>0</v>
      </c>
      <c r="AK61" s="1" t="n">
        <v>0</v>
      </c>
      <c r="AR61" s="1" t="n">
        <v>0.5</v>
      </c>
      <c r="AS61" s="1" t="n">
        <v>0.5</v>
      </c>
      <c r="AU61" s="35" t="n">
        <v>1</v>
      </c>
      <c r="AV61" s="35" t="n">
        <v>0</v>
      </c>
      <c r="AW61" s="35" t="n">
        <v>0</v>
      </c>
      <c r="AY61" s="1" t="n">
        <v>1</v>
      </c>
      <c r="AZ61" s="1" t="n">
        <v>0</v>
      </c>
      <c r="BA61" s="1" t="n">
        <v>0</v>
      </c>
      <c r="BB61" s="1" t="n">
        <v>0</v>
      </c>
    </row>
    <row r="62" customFormat="false" ht="15" hidden="false" customHeight="false" outlineLevel="0" collapsed="false">
      <c r="A62" s="1" t="s">
        <v>144</v>
      </c>
    </row>
    <row r="63" customFormat="false" ht="15" hidden="false" customHeight="false" outlineLevel="0" collapsed="false">
      <c r="A63" s="73" t="s">
        <v>145</v>
      </c>
      <c r="AF63" s="5" t="s">
        <v>14</v>
      </c>
      <c r="AG63" s="6" t="n">
        <v>0</v>
      </c>
      <c r="AH63" s="6" t="n">
        <v>1</v>
      </c>
      <c r="AI63" s="6" t="n">
        <v>0</v>
      </c>
      <c r="AJ63" s="6" t="n">
        <v>1</v>
      </c>
      <c r="AK63" s="6" t="n">
        <v>0</v>
      </c>
      <c r="AL63" s="6" t="n">
        <v>1</v>
      </c>
      <c r="AM63" s="6" t="n">
        <v>0</v>
      </c>
      <c r="AN63" s="6" t="n">
        <v>1</v>
      </c>
      <c r="AW63" s="5" t="s">
        <v>14</v>
      </c>
      <c r="AX63" s="6" t="n">
        <v>0</v>
      </c>
      <c r="AY63" s="6" t="n">
        <v>1</v>
      </c>
      <c r="AZ63" s="6" t="n">
        <v>0</v>
      </c>
      <c r="BA63" s="6" t="n">
        <v>1</v>
      </c>
      <c r="BB63" s="6" t="n">
        <v>0</v>
      </c>
      <c r="BC63" s="6" t="n">
        <v>1</v>
      </c>
      <c r="BD63" s="6" t="n">
        <v>0</v>
      </c>
      <c r="BE63" s="6" t="n">
        <v>1</v>
      </c>
    </row>
    <row r="64" customFormat="false" ht="15" hidden="false" customHeight="false" outlineLevel="0" collapsed="false">
      <c r="A64" s="73" t="s">
        <v>146</v>
      </c>
      <c r="AF64" s="5" t="s">
        <v>15</v>
      </c>
      <c r="AG64" s="6" t="n">
        <v>0</v>
      </c>
      <c r="AH64" s="6" t="n">
        <v>0</v>
      </c>
      <c r="AI64" s="6" t="n">
        <v>1</v>
      </c>
      <c r="AJ64" s="6" t="n">
        <v>1</v>
      </c>
      <c r="AK64" s="6" t="n">
        <v>0</v>
      </c>
      <c r="AL64" s="6" t="n">
        <v>0</v>
      </c>
      <c r="AM64" s="6" t="n">
        <v>1</v>
      </c>
      <c r="AN64" s="6" t="n">
        <v>1</v>
      </c>
      <c r="AW64" s="5" t="s">
        <v>15</v>
      </c>
      <c r="AX64" s="6" t="n">
        <v>0</v>
      </c>
      <c r="AY64" s="6" t="n">
        <v>0</v>
      </c>
      <c r="AZ64" s="6" t="n">
        <v>1</v>
      </c>
      <c r="BA64" s="6" t="n">
        <v>1</v>
      </c>
      <c r="BB64" s="6" t="n">
        <v>0</v>
      </c>
      <c r="BC64" s="6" t="n">
        <v>0</v>
      </c>
      <c r="BD64" s="6" t="n">
        <v>1</v>
      </c>
      <c r="BE64" s="6" t="n">
        <v>1</v>
      </c>
    </row>
    <row r="65" customFormat="false" ht="15" hidden="false" customHeight="false" outlineLevel="0" collapsed="false">
      <c r="A65" s="74" t="s">
        <v>147</v>
      </c>
      <c r="AC65" s="34" t="s">
        <v>14</v>
      </c>
      <c r="AD65" s="34" t="s">
        <v>15</v>
      </c>
      <c r="AE65" s="34" t="s">
        <v>16</v>
      </c>
      <c r="AF65" s="5" t="s">
        <v>16</v>
      </c>
      <c r="AG65" s="6" t="n">
        <v>0</v>
      </c>
      <c r="AH65" s="6" t="n">
        <v>0</v>
      </c>
      <c r="AI65" s="6" t="n">
        <v>0</v>
      </c>
      <c r="AJ65" s="6" t="n">
        <v>0</v>
      </c>
      <c r="AK65" s="6" t="n">
        <v>1</v>
      </c>
      <c r="AL65" s="6" t="n">
        <v>1</v>
      </c>
      <c r="AM65" s="6" t="n">
        <v>1</v>
      </c>
      <c r="AN65" s="6" t="n">
        <v>1</v>
      </c>
      <c r="AT65" s="34" t="s">
        <v>14</v>
      </c>
      <c r="AU65" s="34" t="s">
        <v>15</v>
      </c>
      <c r="AV65" s="34" t="s">
        <v>16</v>
      </c>
      <c r="AW65" s="5" t="s">
        <v>16</v>
      </c>
      <c r="AX65" s="6" t="n">
        <v>0</v>
      </c>
      <c r="AY65" s="6" t="n">
        <v>0</v>
      </c>
      <c r="AZ65" s="6" t="n">
        <v>0</v>
      </c>
      <c r="BA65" s="6" t="n">
        <v>0</v>
      </c>
      <c r="BB65" s="6" t="n">
        <v>1</v>
      </c>
      <c r="BC65" s="6" t="n">
        <v>1</v>
      </c>
      <c r="BD65" s="6" t="n">
        <v>1</v>
      </c>
      <c r="BE65" s="6" t="n">
        <v>1</v>
      </c>
    </row>
    <row r="66" customFormat="false" ht="15" hidden="false" customHeight="false" outlineLevel="0" collapsed="false">
      <c r="A66" s="73" t="s">
        <v>148</v>
      </c>
      <c r="AC66" s="35" t="n">
        <v>1</v>
      </c>
      <c r="AD66" s="35" t="n">
        <v>0</v>
      </c>
      <c r="AE66" s="35" t="n">
        <v>0</v>
      </c>
      <c r="AG66" s="11" t="n">
        <f aca="false">AB61*AH61</f>
        <v>0.5</v>
      </c>
      <c r="AH66" s="11" t="n">
        <f aca="false">AB61*AI61</f>
        <v>0</v>
      </c>
      <c r="AI66" s="11" t="n">
        <f aca="false">AB61*AJ61</f>
        <v>0</v>
      </c>
      <c r="AJ66" s="84" t="n">
        <f aca="false">AB61*AK61</f>
        <v>0</v>
      </c>
      <c r="AK66" s="11" t="n">
        <f aca="false">AC61*AH61</f>
        <v>0.5</v>
      </c>
      <c r="AL66" s="11" t="n">
        <f aca="false">AC61*AI61</f>
        <v>0</v>
      </c>
      <c r="AM66" s="11" t="n">
        <f aca="false">AC61*AJ61</f>
        <v>0</v>
      </c>
      <c r="AN66" s="11" t="n">
        <f aca="false">AC61*AK61</f>
        <v>0</v>
      </c>
      <c r="AT66" s="35" t="n">
        <v>1</v>
      </c>
      <c r="AU66" s="35" t="n">
        <v>0</v>
      </c>
      <c r="AV66" s="35" t="n">
        <v>0</v>
      </c>
      <c r="AX66" s="4" t="n">
        <f aca="false">AR61*AY61</f>
        <v>0.5</v>
      </c>
      <c r="AY66" s="4" t="n">
        <f aca="false">AR61*AZ61</f>
        <v>0</v>
      </c>
      <c r="AZ66" s="4" t="n">
        <f aca="false">AR61*BA61</f>
        <v>0</v>
      </c>
      <c r="BA66" s="4" t="n">
        <f aca="false">AR61*BB61</f>
        <v>0</v>
      </c>
      <c r="BB66" s="4" t="n">
        <f aca="false">AS61*AY61</f>
        <v>0.5</v>
      </c>
      <c r="BC66" s="4" t="n">
        <f aca="false">AS61*AZ61</f>
        <v>0</v>
      </c>
      <c r="BD66" s="4" t="n">
        <f aca="false">AS61*BA61</f>
        <v>0</v>
      </c>
      <c r="BE66" s="4" t="n">
        <f aca="false">BB61*AS61</f>
        <v>0</v>
      </c>
    </row>
    <row r="67" customFormat="false" ht="12" hidden="false" customHeight="true" outlineLevel="0" collapsed="false">
      <c r="A67" s="73" t="s">
        <v>149</v>
      </c>
      <c r="AG67" s="12" t="n">
        <v>0</v>
      </c>
      <c r="AH67" s="12" t="n">
        <v>0</v>
      </c>
      <c r="AI67" s="12" t="n">
        <v>0</v>
      </c>
      <c r="AJ67" s="12" t="n">
        <v>0</v>
      </c>
      <c r="AK67" s="12" t="n">
        <v>1</v>
      </c>
      <c r="AL67" s="12" t="n">
        <v>0</v>
      </c>
      <c r="AM67" s="12" t="n">
        <v>0</v>
      </c>
      <c r="AN67" s="12" t="n">
        <v>0</v>
      </c>
      <c r="AX67" s="12" t="n">
        <v>0</v>
      </c>
      <c r="AY67" s="12" t="n">
        <v>0</v>
      </c>
      <c r="AZ67" s="12" t="n">
        <v>0</v>
      </c>
      <c r="BA67" s="12" t="n">
        <v>0</v>
      </c>
      <c r="BB67" s="12" t="n">
        <v>1</v>
      </c>
      <c r="BC67" s="12" t="n">
        <v>0</v>
      </c>
      <c r="BD67" s="12" t="n">
        <v>0</v>
      </c>
      <c r="BE67" s="12" t="n">
        <v>0</v>
      </c>
    </row>
    <row r="68" s="77" customFormat="true" ht="15" hidden="false" customHeight="false" outlineLevel="0" collapsed="false">
      <c r="A68" s="77" t="s">
        <v>150</v>
      </c>
      <c r="AD68" s="77" t="s">
        <v>90</v>
      </c>
      <c r="AG68" s="77" t="n">
        <f aca="false">AG66*1</f>
        <v>0.5</v>
      </c>
      <c r="AW68" s="77" t="s">
        <v>91</v>
      </c>
      <c r="AX68" s="77" t="n">
        <f aca="false">AX66*1</f>
        <v>0.5</v>
      </c>
    </row>
    <row r="69" customFormat="false" ht="15" hidden="false" customHeight="false" outlineLevel="0" collapsed="false">
      <c r="A69" s="1" t="s">
        <v>33</v>
      </c>
      <c r="AQ69" s="33" t="s">
        <v>151</v>
      </c>
      <c r="AR69" s="33"/>
      <c r="AS69" s="33"/>
      <c r="AT69" s="33"/>
      <c r="AU69" s="33"/>
      <c r="AV69" s="33"/>
    </row>
    <row r="70" customFormat="false" ht="16.4" hidden="false" customHeight="false" outlineLevel="0" collapsed="false">
      <c r="A70" s="1" t="s">
        <v>36</v>
      </c>
      <c r="D70" s="1" t="s">
        <v>152</v>
      </c>
      <c r="F70" s="1" t="s">
        <v>153</v>
      </c>
      <c r="J70" s="37" t="s">
        <v>38</v>
      </c>
      <c r="K70" s="37"/>
      <c r="L70" s="4" t="s">
        <v>125</v>
      </c>
      <c r="N70" s="33" t="s">
        <v>154</v>
      </c>
      <c r="O70" s="33"/>
      <c r="P70" s="33"/>
      <c r="Q70" s="37" t="s">
        <v>41</v>
      </c>
      <c r="R70" s="37"/>
      <c r="S70" s="37"/>
      <c r="T70" s="37"/>
      <c r="U70" s="33" t="s">
        <v>155</v>
      </c>
      <c r="V70" s="33"/>
      <c r="W70" s="32" t="s">
        <v>43</v>
      </c>
      <c r="Z70" s="4" t="s">
        <v>156</v>
      </c>
      <c r="AF70" s="5" t="s">
        <v>14</v>
      </c>
      <c r="AG70" s="6" t="n">
        <v>0</v>
      </c>
      <c r="AH70" s="6" t="n">
        <v>1</v>
      </c>
      <c r="AI70" s="6" t="n">
        <v>0</v>
      </c>
      <c r="AJ70" s="6" t="n">
        <v>1</v>
      </c>
      <c r="AK70" s="6" t="n">
        <v>0</v>
      </c>
      <c r="AL70" s="6" t="n">
        <v>1</v>
      </c>
      <c r="AM70" s="6" t="n">
        <v>0</v>
      </c>
      <c r="AN70" s="6" t="n">
        <v>1</v>
      </c>
      <c r="AQ70" s="4" t="s">
        <v>157</v>
      </c>
      <c r="AX70" s="5" t="s">
        <v>14</v>
      </c>
      <c r="AY70" s="6" t="n">
        <v>0</v>
      </c>
      <c r="AZ70" s="6" t="n">
        <v>1</v>
      </c>
      <c r="BA70" s="6" t="n">
        <v>0</v>
      </c>
      <c r="BB70" s="6" t="n">
        <v>1</v>
      </c>
    </row>
    <row r="71" customFormat="false" ht="15" hidden="false" customHeight="false" outlineLevel="0" collapsed="false">
      <c r="B71" s="1" t="s">
        <v>45</v>
      </c>
      <c r="J71" s="1" t="s">
        <v>158</v>
      </c>
      <c r="L71" s="1" t="s">
        <v>47</v>
      </c>
      <c r="O71" s="42" t="n">
        <f aca="false">$O$43</f>
        <v>1</v>
      </c>
      <c r="Q71" s="4" t="s">
        <v>48</v>
      </c>
      <c r="U71" s="78" t="n">
        <f aca="false">$AX$25</f>
        <v>1</v>
      </c>
      <c r="V71" s="79"/>
      <c r="W71" s="45" t="n">
        <f aca="false">O71-U71</f>
        <v>0</v>
      </c>
      <c r="X71" s="46"/>
      <c r="AF71" s="5" t="s">
        <v>15</v>
      </c>
      <c r="AG71" s="6" t="n">
        <v>0</v>
      </c>
      <c r="AH71" s="6" t="n">
        <v>0</v>
      </c>
      <c r="AI71" s="6" t="n">
        <v>1</v>
      </c>
      <c r="AJ71" s="6" t="n">
        <v>1</v>
      </c>
      <c r="AK71" s="6" t="n">
        <v>0</v>
      </c>
      <c r="AL71" s="6" t="n">
        <v>0</v>
      </c>
      <c r="AM71" s="6" t="n">
        <v>1</v>
      </c>
      <c r="AN71" s="6" t="n">
        <v>1</v>
      </c>
      <c r="AS71" s="37" t="s">
        <v>15</v>
      </c>
      <c r="AX71" s="5" t="s">
        <v>16</v>
      </c>
      <c r="AY71" s="6" t="n">
        <v>0</v>
      </c>
      <c r="AZ71" s="6" t="n">
        <v>0</v>
      </c>
      <c r="BA71" s="6" t="n">
        <v>1</v>
      </c>
      <c r="BB71" s="6" t="n">
        <v>1</v>
      </c>
    </row>
    <row r="72" s="86" customFormat="true" ht="15" hidden="false" customHeight="false" outlineLevel="0" collapsed="false">
      <c r="B72" s="86" t="s">
        <v>159</v>
      </c>
      <c r="J72" s="86" t="s">
        <v>160</v>
      </c>
      <c r="L72" s="86" t="s">
        <v>47</v>
      </c>
      <c r="O72" s="55" t="n">
        <f aca="false">$O$46</f>
        <v>0.5</v>
      </c>
      <c r="Q72" s="86" t="s">
        <v>64</v>
      </c>
      <c r="U72" s="83" t="n">
        <f aca="false">$U$53</f>
        <v>0.5</v>
      </c>
      <c r="V72" s="83"/>
      <c r="W72" s="87" t="n">
        <f aca="false">O72-U72</f>
        <v>0</v>
      </c>
      <c r="X72" s="88"/>
      <c r="AA72" s="89" t="s">
        <v>14</v>
      </c>
      <c r="AB72" s="89" t="s">
        <v>15</v>
      </c>
      <c r="AC72" s="89" t="s">
        <v>16</v>
      </c>
      <c r="AF72" s="90" t="s">
        <v>16</v>
      </c>
      <c r="AG72" s="91" t="n">
        <v>0</v>
      </c>
      <c r="AH72" s="91" t="n">
        <v>0</v>
      </c>
      <c r="AI72" s="91" t="n">
        <v>0</v>
      </c>
      <c r="AJ72" s="91" t="n">
        <v>0</v>
      </c>
      <c r="AK72" s="91" t="n">
        <v>1</v>
      </c>
      <c r="AL72" s="91" t="n">
        <v>1</v>
      </c>
      <c r="AM72" s="91" t="n">
        <v>1</v>
      </c>
      <c r="AN72" s="91" t="n">
        <v>1</v>
      </c>
      <c r="AR72" s="92" t="n">
        <v>0</v>
      </c>
      <c r="AS72" s="92" t="n">
        <v>1</v>
      </c>
      <c r="AU72" s="89" t="s">
        <v>14</v>
      </c>
      <c r="AV72" s="89" t="s">
        <v>15</v>
      </c>
      <c r="AW72" s="89" t="s">
        <v>16</v>
      </c>
    </row>
    <row r="73" customFormat="false" ht="15" hidden="false" customHeight="false" outlineLevel="0" collapsed="false">
      <c r="B73" s="1" t="s">
        <v>161</v>
      </c>
      <c r="J73" s="1" t="s">
        <v>162</v>
      </c>
      <c r="L73" s="1" t="s">
        <v>47</v>
      </c>
      <c r="O73" s="11" t="n">
        <f aca="false">$AW$137</f>
        <v>1</v>
      </c>
      <c r="Q73" s="4" t="s">
        <v>163</v>
      </c>
      <c r="U73" s="64" t="n">
        <f aca="false">$AG$107</f>
        <v>0.5</v>
      </c>
      <c r="V73" s="64"/>
      <c r="W73" s="45" t="n">
        <f aca="false">O73-U73</f>
        <v>0.5</v>
      </c>
      <c r="X73" s="46"/>
      <c r="AA73" s="35" t="n">
        <v>1</v>
      </c>
      <c r="AB73" s="35" t="n">
        <v>0</v>
      </c>
      <c r="AC73" s="35" t="n">
        <v>0</v>
      </c>
      <c r="AD73" s="1" t="n">
        <v>1</v>
      </c>
      <c r="AG73" s="1" t="n">
        <v>0.09375</v>
      </c>
      <c r="AH73" s="1" t="n">
        <v>0.28125</v>
      </c>
      <c r="AI73" s="1" t="n">
        <v>0.03125</v>
      </c>
      <c r="AJ73" s="1" t="n">
        <v>0.09375</v>
      </c>
      <c r="AK73" s="1" t="n">
        <v>0.09375</v>
      </c>
      <c r="AL73" s="1" t="n">
        <v>0.28125</v>
      </c>
      <c r="AM73" s="1" t="n">
        <v>0.03125</v>
      </c>
      <c r="AN73" s="1" t="n">
        <v>0.09375</v>
      </c>
      <c r="AO73" s="93" t="n">
        <f aca="false">SUM(AG73:AN73)</f>
        <v>1</v>
      </c>
      <c r="AR73" s="76" t="n">
        <v>0.75</v>
      </c>
      <c r="AS73" s="76" t="n">
        <v>0.25</v>
      </c>
      <c r="AU73" s="35" t="n">
        <v>1</v>
      </c>
      <c r="AV73" s="35" t="n">
        <v>0</v>
      </c>
      <c r="AW73" s="35" t="n">
        <v>0</v>
      </c>
      <c r="AY73" s="1" t="n">
        <v>0</v>
      </c>
      <c r="AZ73" s="1" t="n">
        <v>0</v>
      </c>
      <c r="BA73" s="1" t="n">
        <v>1</v>
      </c>
      <c r="BB73" s="1" t="n">
        <v>0</v>
      </c>
    </row>
    <row r="74" customFormat="false" ht="15" hidden="false" customHeight="false" outlineLevel="0" collapsed="false">
      <c r="B74" s="1" t="s">
        <v>164</v>
      </c>
      <c r="AG74" s="12" t="n">
        <v>0</v>
      </c>
      <c r="AH74" s="12" t="n">
        <v>0</v>
      </c>
      <c r="AI74" s="12" t="n">
        <v>0</v>
      </c>
      <c r="AJ74" s="12" t="n">
        <v>0</v>
      </c>
      <c r="AK74" s="12" t="n">
        <v>1</v>
      </c>
      <c r="AL74" s="12" t="n">
        <v>0</v>
      </c>
      <c r="AM74" s="12" t="n">
        <v>0</v>
      </c>
      <c r="AN74" s="12" t="n">
        <v>0</v>
      </c>
    </row>
    <row r="75" customFormat="false" ht="15" hidden="false" customHeight="false" outlineLevel="0" collapsed="false">
      <c r="B75" s="1" t="s">
        <v>165</v>
      </c>
      <c r="AD75" s="1" t="s">
        <v>90</v>
      </c>
      <c r="AG75" s="1" t="n">
        <f aca="false">AG73*1+AH73*2+AI73*2+AJ73*3+AL73*1+AM73*1+AN73*2</f>
        <v>1.5</v>
      </c>
      <c r="AW75" s="5" t="s">
        <v>14</v>
      </c>
      <c r="AX75" s="1" t="n">
        <v>0</v>
      </c>
      <c r="AY75" s="1" t="n">
        <v>1</v>
      </c>
      <c r="AZ75" s="1" t="n">
        <v>0</v>
      </c>
      <c r="BA75" s="1" t="n">
        <v>1</v>
      </c>
      <c r="BB75" s="1" t="n">
        <v>0</v>
      </c>
      <c r="BC75" s="1" t="n">
        <v>1</v>
      </c>
      <c r="BD75" s="1" t="n">
        <v>0</v>
      </c>
      <c r="BE75" s="1" t="n">
        <v>1</v>
      </c>
    </row>
    <row r="76" customFormat="false" ht="15" hidden="false" customHeight="false" outlineLevel="0" collapsed="false">
      <c r="A76" s="1" t="s">
        <v>123</v>
      </c>
      <c r="D76" s="1" t="s">
        <v>166</v>
      </c>
      <c r="J76" s="37" t="s">
        <v>38</v>
      </c>
      <c r="K76" s="37"/>
      <c r="L76" s="4" t="s">
        <v>125</v>
      </c>
      <c r="N76" s="33" t="s">
        <v>154</v>
      </c>
      <c r="O76" s="33"/>
      <c r="P76" s="33"/>
      <c r="Q76" s="37" t="s">
        <v>41</v>
      </c>
      <c r="R76" s="37"/>
      <c r="S76" s="37"/>
      <c r="T76" s="37"/>
      <c r="U76" s="33" t="s">
        <v>155</v>
      </c>
      <c r="V76" s="33"/>
      <c r="W76" s="32" t="s">
        <v>43</v>
      </c>
      <c r="AW76" s="5" t="s">
        <v>15</v>
      </c>
      <c r="AX76" s="6" t="n">
        <v>0</v>
      </c>
      <c r="AY76" s="6" t="n">
        <v>0</v>
      </c>
      <c r="AZ76" s="6" t="n">
        <v>1</v>
      </c>
      <c r="BA76" s="6" t="n">
        <v>1</v>
      </c>
      <c r="BB76" s="6" t="n">
        <v>0</v>
      </c>
      <c r="BC76" s="6" t="n">
        <v>0</v>
      </c>
      <c r="BD76" s="6" t="n">
        <v>1</v>
      </c>
      <c r="BE76" s="6" t="n">
        <v>1</v>
      </c>
    </row>
    <row r="77" customFormat="false" ht="15" hidden="false" customHeight="false" outlineLevel="0" collapsed="false">
      <c r="B77" s="1" t="s">
        <v>167</v>
      </c>
      <c r="J77" s="1" t="s">
        <v>168</v>
      </c>
      <c r="L77" s="1" t="s">
        <v>47</v>
      </c>
      <c r="O77" s="64" t="n">
        <f aca="false">$AG$107</f>
        <v>0.5</v>
      </c>
      <c r="Q77" s="4" t="s">
        <v>64</v>
      </c>
      <c r="U77" s="83" t="n">
        <f aca="false">$U$53</f>
        <v>0.5</v>
      </c>
      <c r="V77" s="83"/>
      <c r="W77" s="45" t="n">
        <f aca="false">O77-U77</f>
        <v>0</v>
      </c>
      <c r="X77" s="46"/>
      <c r="Z77" s="4" t="s">
        <v>169</v>
      </c>
      <c r="AB77" s="4" t="s">
        <v>14</v>
      </c>
      <c r="AC77" s="37" t="n">
        <v>0</v>
      </c>
      <c r="AD77" s="37" t="n">
        <v>1</v>
      </c>
      <c r="AG77" s="5" t="s">
        <v>15</v>
      </c>
      <c r="AH77" s="6" t="n">
        <v>0</v>
      </c>
      <c r="AI77" s="6" t="n">
        <v>1</v>
      </c>
      <c r="AJ77" s="6" t="n">
        <v>0</v>
      </c>
      <c r="AK77" s="6" t="n">
        <v>1</v>
      </c>
      <c r="AT77" s="34" t="s">
        <v>14</v>
      </c>
      <c r="AU77" s="34" t="s">
        <v>15</v>
      </c>
      <c r="AV77" s="34" t="s">
        <v>16</v>
      </c>
      <c r="AW77" s="5" t="s">
        <v>16</v>
      </c>
      <c r="AX77" s="6" t="n">
        <v>0</v>
      </c>
      <c r="AY77" s="6" t="n">
        <v>0</v>
      </c>
      <c r="AZ77" s="6" t="n">
        <v>0</v>
      </c>
      <c r="BA77" s="6" t="n">
        <v>0</v>
      </c>
      <c r="BB77" s="6" t="n">
        <v>1</v>
      </c>
      <c r="BC77" s="6" t="n">
        <v>1</v>
      </c>
      <c r="BD77" s="6" t="n">
        <v>1</v>
      </c>
      <c r="BE77" s="6" t="n">
        <v>1</v>
      </c>
    </row>
    <row r="78" customFormat="false" ht="15" hidden="false" customHeight="false" outlineLevel="0" collapsed="false">
      <c r="B78" s="1" t="s">
        <v>170</v>
      </c>
      <c r="J78" s="1" t="s">
        <v>171</v>
      </c>
      <c r="L78" s="1" t="s">
        <v>47</v>
      </c>
      <c r="O78" s="83" t="n">
        <f aca="false">$U$53</f>
        <v>0.5</v>
      </c>
      <c r="Q78" s="4" t="s">
        <v>172</v>
      </c>
      <c r="U78" s="64" t="n">
        <f aca="false">$AG$107</f>
        <v>0.5</v>
      </c>
      <c r="V78" s="64"/>
      <c r="W78" s="45" t="n">
        <f aca="false">O78-U78</f>
        <v>0</v>
      </c>
      <c r="X78" s="46"/>
      <c r="AA78" s="34" t="s">
        <v>14</v>
      </c>
      <c r="AB78" s="34" t="s">
        <v>15</v>
      </c>
      <c r="AG78" s="5" t="s">
        <v>16</v>
      </c>
      <c r="AH78" s="6" t="n">
        <v>0</v>
      </c>
      <c r="AI78" s="6" t="n">
        <v>0</v>
      </c>
      <c r="AJ78" s="6" t="n">
        <v>1</v>
      </c>
      <c r="AK78" s="6" t="n">
        <v>1</v>
      </c>
      <c r="AT78" s="35" t="n">
        <v>1</v>
      </c>
      <c r="AU78" s="35" t="n">
        <v>0</v>
      </c>
      <c r="AV78" s="35" t="n">
        <v>0</v>
      </c>
      <c r="AX78" s="4" t="n">
        <f aca="false">AR73*AY73</f>
        <v>0</v>
      </c>
      <c r="AY78" s="4" t="n">
        <f aca="false">AR73*AZ73</f>
        <v>0</v>
      </c>
      <c r="AZ78" s="4" t="n">
        <f aca="false">AS73*AY73</f>
        <v>0</v>
      </c>
      <c r="BA78" s="4" t="n">
        <f aca="false">AS73*AZ73</f>
        <v>0</v>
      </c>
      <c r="BB78" s="76" t="n">
        <f aca="false">AR73*BA73</f>
        <v>0.75</v>
      </c>
      <c r="BC78" s="4" t="n">
        <f aca="false">AR73*BB73</f>
        <v>0</v>
      </c>
      <c r="BD78" s="76" t="n">
        <f aca="false">AS73*BA73</f>
        <v>0.25</v>
      </c>
      <c r="BE78" s="4" t="n">
        <f aca="false">BB73*AS73</f>
        <v>0</v>
      </c>
    </row>
    <row r="79" customFormat="false" ht="15" hidden="false" customHeight="false" outlineLevel="0" collapsed="false">
      <c r="B79" s="1" t="s">
        <v>173</v>
      </c>
      <c r="AA79" s="35" t="n">
        <v>1</v>
      </c>
      <c r="AB79" s="35" t="n">
        <v>0</v>
      </c>
      <c r="AC79" s="1" t="n">
        <v>0.5</v>
      </c>
      <c r="AD79" s="1" t="n">
        <v>0.5</v>
      </c>
      <c r="AF79" s="75" t="s">
        <v>16</v>
      </c>
      <c r="AH79" s="1" t="n">
        <v>0.5</v>
      </c>
      <c r="AI79" s="1" t="n">
        <v>0</v>
      </c>
      <c r="AJ79" s="1" t="n">
        <v>0.5</v>
      </c>
      <c r="AK79" s="1" t="n">
        <v>0</v>
      </c>
      <c r="AX79" s="12" t="n">
        <v>0</v>
      </c>
      <c r="AY79" s="12" t="n">
        <v>0</v>
      </c>
      <c r="AZ79" s="12" t="n">
        <v>0</v>
      </c>
      <c r="BA79" s="12" t="n">
        <v>0</v>
      </c>
      <c r="BB79" s="12" t="n">
        <v>1</v>
      </c>
      <c r="BC79" s="12" t="n">
        <v>0</v>
      </c>
      <c r="BD79" s="12" t="n">
        <v>0</v>
      </c>
      <c r="BE79" s="12" t="n">
        <v>0</v>
      </c>
    </row>
    <row r="80" customFormat="false" ht="15" hidden="false" customHeight="false" outlineLevel="0" collapsed="false">
      <c r="B80" s="1" t="s">
        <v>174</v>
      </c>
      <c r="AV80" s="1" t="s">
        <v>90</v>
      </c>
      <c r="AX80" s="1" t="n">
        <f aca="false">AX78*1+AY78*2+AZ78*2+BA78*3+BC78*1+BD78*1+BE78*2</f>
        <v>0.25</v>
      </c>
    </row>
    <row r="81" customFormat="false" ht="15" hidden="false" customHeight="false" outlineLevel="0" collapsed="false">
      <c r="A81" s="1" t="s">
        <v>175</v>
      </c>
      <c r="AF81" s="5" t="s">
        <v>14</v>
      </c>
      <c r="AG81" s="6" t="n">
        <v>0</v>
      </c>
      <c r="AH81" s="6" t="n">
        <v>1</v>
      </c>
      <c r="AI81" s="6" t="n">
        <v>0</v>
      </c>
      <c r="AJ81" s="6" t="n">
        <v>1</v>
      </c>
      <c r="AK81" s="6" t="n">
        <v>0</v>
      </c>
      <c r="AL81" s="6" t="n">
        <v>1</v>
      </c>
      <c r="AM81" s="6" t="n">
        <v>0</v>
      </c>
      <c r="AN81" s="6" t="n">
        <v>1</v>
      </c>
      <c r="AQ81" s="4" t="s">
        <v>176</v>
      </c>
      <c r="AW81" s="5" t="s">
        <v>14</v>
      </c>
      <c r="AX81" s="6" t="n">
        <v>0</v>
      </c>
      <c r="AY81" s="6" t="n">
        <v>1</v>
      </c>
      <c r="AZ81" s="6" t="n">
        <v>0</v>
      </c>
      <c r="BA81" s="6" t="n">
        <v>1</v>
      </c>
      <c r="BB81" s="6" t="n">
        <v>0</v>
      </c>
      <c r="BC81" s="6" t="n">
        <v>1</v>
      </c>
      <c r="BD81" s="6" t="n">
        <v>0</v>
      </c>
      <c r="BE81" s="6" t="n">
        <v>1</v>
      </c>
    </row>
    <row r="82" customFormat="false" ht="15" hidden="false" customHeight="false" outlineLevel="0" collapsed="false">
      <c r="A82" s="73" t="s">
        <v>177</v>
      </c>
      <c r="AF82" s="5" t="s">
        <v>15</v>
      </c>
      <c r="AG82" s="6" t="n">
        <v>0</v>
      </c>
      <c r="AH82" s="6" t="n">
        <v>0</v>
      </c>
      <c r="AI82" s="6" t="n">
        <v>1</v>
      </c>
      <c r="AJ82" s="6" t="n">
        <v>1</v>
      </c>
      <c r="AK82" s="6" t="n">
        <v>0</v>
      </c>
      <c r="AL82" s="6" t="n">
        <v>0</v>
      </c>
      <c r="AM82" s="6" t="n">
        <v>1</v>
      </c>
      <c r="AN82" s="6" t="n">
        <v>1</v>
      </c>
      <c r="AW82" s="5" t="s">
        <v>15</v>
      </c>
      <c r="AX82" s="6" t="n">
        <v>0</v>
      </c>
      <c r="AY82" s="6" t="n">
        <v>0</v>
      </c>
      <c r="AZ82" s="6" t="n">
        <v>1</v>
      </c>
      <c r="BA82" s="6" t="n">
        <v>1</v>
      </c>
      <c r="BB82" s="6" t="n">
        <v>0</v>
      </c>
      <c r="BC82" s="6" t="n">
        <v>0</v>
      </c>
      <c r="BD82" s="6" t="n">
        <v>1</v>
      </c>
      <c r="BE82" s="6" t="n">
        <v>1</v>
      </c>
    </row>
    <row r="83" customFormat="false" ht="15" hidden="false" customHeight="false" outlineLevel="0" collapsed="false">
      <c r="A83" s="73" t="s">
        <v>178</v>
      </c>
      <c r="AC83" s="34" t="s">
        <v>14</v>
      </c>
      <c r="AD83" s="34" t="s">
        <v>15</v>
      </c>
      <c r="AE83" s="34" t="s">
        <v>16</v>
      </c>
      <c r="AF83" s="5" t="s">
        <v>16</v>
      </c>
      <c r="AG83" s="6" t="n">
        <v>0</v>
      </c>
      <c r="AH83" s="6" t="n">
        <v>0</v>
      </c>
      <c r="AI83" s="6" t="n">
        <v>0</v>
      </c>
      <c r="AJ83" s="6" t="n">
        <v>0</v>
      </c>
      <c r="AK83" s="6" t="n">
        <v>1</v>
      </c>
      <c r="AL83" s="6" t="n">
        <v>1</v>
      </c>
      <c r="AM83" s="6" t="n">
        <v>1</v>
      </c>
      <c r="AN83" s="6" t="n">
        <v>1</v>
      </c>
      <c r="AR83" s="5" t="s">
        <v>16</v>
      </c>
      <c r="AU83" s="34" t="s">
        <v>14</v>
      </c>
      <c r="AV83" s="34" t="s">
        <v>15</v>
      </c>
      <c r="AW83" s="5" t="s">
        <v>16</v>
      </c>
      <c r="AX83" s="6" t="n">
        <v>0</v>
      </c>
      <c r="AY83" s="6" t="n">
        <v>0</v>
      </c>
      <c r="AZ83" s="6" t="n">
        <v>0</v>
      </c>
      <c r="BA83" s="6" t="n">
        <v>0</v>
      </c>
      <c r="BB83" s="6" t="n">
        <v>1</v>
      </c>
      <c r="BC83" s="6" t="n">
        <v>1</v>
      </c>
      <c r="BD83" s="6" t="n">
        <v>1</v>
      </c>
      <c r="BE83" s="6" t="n">
        <v>1</v>
      </c>
    </row>
    <row r="84" customFormat="false" ht="15" hidden="false" customHeight="false" outlineLevel="0" collapsed="false">
      <c r="A84" s="74" t="s">
        <v>179</v>
      </c>
      <c r="AC84" s="1" t="n">
        <v>1</v>
      </c>
      <c r="AD84" s="1" t="n">
        <v>0</v>
      </c>
      <c r="AE84" s="1" t="n">
        <v>0</v>
      </c>
      <c r="AG84" s="4" t="n">
        <f aca="false">AC79*AH79</f>
        <v>0.25</v>
      </c>
      <c r="AH84" s="4" t="n">
        <f aca="false">AD79*AH79</f>
        <v>0.25</v>
      </c>
      <c r="AI84" s="4" t="n">
        <f aca="false">AC79*AI79</f>
        <v>0</v>
      </c>
      <c r="AJ84" s="4" t="n">
        <f aca="false">AD79*AI79</f>
        <v>0</v>
      </c>
      <c r="AK84" s="4" t="n">
        <f aca="false">AC79*AJ79</f>
        <v>0.25</v>
      </c>
      <c r="AL84" s="4" t="n">
        <f aca="false">AD79*AJ79</f>
        <v>0.25</v>
      </c>
      <c r="AM84" s="4" t="n">
        <f aca="false">AC79*AK79</f>
        <v>0</v>
      </c>
      <c r="AN84" s="4" t="n">
        <f aca="false">AD79*AK79</f>
        <v>0</v>
      </c>
      <c r="AR84" s="63" t="n">
        <v>0</v>
      </c>
      <c r="AS84" s="11" t="n">
        <v>1</v>
      </c>
      <c r="AU84" s="35" t="n">
        <v>1</v>
      </c>
      <c r="AV84" s="35" t="n">
        <v>0</v>
      </c>
      <c r="AX84" s="1" t="n">
        <v>0</v>
      </c>
      <c r="AY84" s="1" t="n">
        <v>0</v>
      </c>
      <c r="AZ84" s="1" t="n">
        <v>0</v>
      </c>
      <c r="BA84" s="1" t="n">
        <v>0</v>
      </c>
      <c r="BB84" s="76" t="n">
        <v>0.25</v>
      </c>
      <c r="BC84" s="76" t="n">
        <v>0.25</v>
      </c>
      <c r="BD84" s="76" t="n">
        <v>0.25</v>
      </c>
      <c r="BE84" s="76" t="n">
        <v>0.25</v>
      </c>
    </row>
    <row r="85" customFormat="false" ht="15" hidden="false" customHeight="false" outlineLevel="0" collapsed="false">
      <c r="A85" s="73" t="s">
        <v>180</v>
      </c>
      <c r="AG85" s="12" t="n">
        <v>0</v>
      </c>
      <c r="AH85" s="12" t="n">
        <v>0</v>
      </c>
      <c r="AI85" s="12" t="n">
        <v>0</v>
      </c>
      <c r="AJ85" s="12" t="n">
        <v>0</v>
      </c>
      <c r="AK85" s="12" t="n">
        <v>1</v>
      </c>
      <c r="AL85" s="12" t="n">
        <v>0</v>
      </c>
      <c r="AM85" s="12" t="n">
        <v>0</v>
      </c>
      <c r="AN85" s="12" t="n">
        <v>0</v>
      </c>
      <c r="AX85" s="12" t="n">
        <v>0</v>
      </c>
      <c r="AY85" s="12" t="n">
        <v>0</v>
      </c>
      <c r="AZ85" s="12" t="n">
        <v>0</v>
      </c>
      <c r="BA85" s="12" t="n">
        <v>0</v>
      </c>
      <c r="BB85" s="12" t="n">
        <v>1</v>
      </c>
      <c r="BC85" s="12" t="n">
        <v>0</v>
      </c>
      <c r="BD85" s="12" t="n">
        <v>0</v>
      </c>
      <c r="BE85" s="12" t="n">
        <v>0</v>
      </c>
    </row>
    <row r="86" customFormat="false" ht="15" hidden="false" customHeight="false" outlineLevel="0" collapsed="false">
      <c r="A86" s="73" t="s">
        <v>181</v>
      </c>
      <c r="AD86" s="4" t="s">
        <v>90</v>
      </c>
      <c r="AG86" s="4" t="n">
        <f aca="false">AG84*1+AH84*2+AL84*1</f>
        <v>1</v>
      </c>
      <c r="AV86" s="4" t="s">
        <v>90</v>
      </c>
      <c r="AX86" s="4" t="n">
        <f aca="false">AX84*1+AY84*2+AZ84*2+BA84*3+BC84*1+BD84*1+BE84*2</f>
        <v>1</v>
      </c>
      <c r="BF86" s="7"/>
    </row>
    <row r="87" s="77" customFormat="true" ht="15" hidden="false" customHeight="false" outlineLevel="0" collapsed="false">
      <c r="A87" s="77" t="s">
        <v>182</v>
      </c>
      <c r="Z87" s="77" t="s">
        <v>183</v>
      </c>
      <c r="AB87" s="77" t="s">
        <v>15</v>
      </c>
      <c r="AC87" s="77" t="n">
        <v>0</v>
      </c>
      <c r="AD87" s="77" t="n">
        <v>1</v>
      </c>
      <c r="AG87" s="77" t="s">
        <v>14</v>
      </c>
      <c r="AH87" s="77" t="n">
        <v>0</v>
      </c>
      <c r="AI87" s="77" t="n">
        <v>1</v>
      </c>
      <c r="AJ87" s="77" t="n">
        <v>0</v>
      </c>
      <c r="AK87" s="77" t="n">
        <v>1</v>
      </c>
      <c r="AQ87" s="77" t="s">
        <v>184</v>
      </c>
      <c r="AS87" s="77" t="s">
        <v>15</v>
      </c>
      <c r="AT87" s="77" t="n">
        <v>0</v>
      </c>
      <c r="AU87" s="77" t="n">
        <v>1</v>
      </c>
      <c r="AX87" s="77" t="s">
        <v>14</v>
      </c>
      <c r="AY87" s="77" t="n">
        <v>0</v>
      </c>
      <c r="AZ87" s="77" t="n">
        <v>1</v>
      </c>
      <c r="BA87" s="77" t="n">
        <v>0</v>
      </c>
      <c r="BB87" s="77" t="n">
        <v>1</v>
      </c>
      <c r="BF87" s="94" t="s">
        <v>185</v>
      </c>
      <c r="BH87" s="5" t="s">
        <v>15</v>
      </c>
      <c r="BM87" s="75" t="s">
        <v>14</v>
      </c>
      <c r="BN87" s="77" t="n">
        <v>0</v>
      </c>
      <c r="BO87" s="77" t="n">
        <v>1</v>
      </c>
      <c r="BP87" s="77" t="n">
        <v>0</v>
      </c>
      <c r="BQ87" s="77" t="n">
        <v>1</v>
      </c>
    </row>
    <row r="88" customFormat="false" ht="15" hidden="false" customHeight="false" outlineLevel="0" collapsed="false">
      <c r="A88" s="1" t="s">
        <v>33</v>
      </c>
      <c r="AA88" s="34" t="s">
        <v>14</v>
      </c>
      <c r="AB88" s="34" t="s">
        <v>15</v>
      </c>
      <c r="AG88" s="5" t="s">
        <v>16</v>
      </c>
      <c r="AH88" s="6" t="n">
        <v>0</v>
      </c>
      <c r="AI88" s="6" t="n">
        <v>0</v>
      </c>
      <c r="AJ88" s="6" t="n">
        <v>1</v>
      </c>
      <c r="AK88" s="6" t="n">
        <v>1</v>
      </c>
      <c r="AR88" s="34" t="s">
        <v>14</v>
      </c>
      <c r="AS88" s="34" t="s">
        <v>16</v>
      </c>
      <c r="AW88" s="37" t="s">
        <v>15</v>
      </c>
      <c r="AX88" s="5" t="s">
        <v>16</v>
      </c>
      <c r="AY88" s="6" t="n">
        <v>0</v>
      </c>
      <c r="AZ88" s="6" t="n">
        <v>0</v>
      </c>
      <c r="BA88" s="6" t="n">
        <v>1</v>
      </c>
      <c r="BB88" s="6" t="n">
        <v>1</v>
      </c>
      <c r="BH88" s="6" t="n">
        <v>0</v>
      </c>
      <c r="BI88" s="6" t="n">
        <v>1</v>
      </c>
      <c r="BK88" s="75" t="s">
        <v>14</v>
      </c>
      <c r="BL88" s="75" t="s">
        <v>15</v>
      </c>
      <c r="BM88" s="75" t="s">
        <v>16</v>
      </c>
      <c r="BN88" s="6" t="n">
        <v>0</v>
      </c>
      <c r="BO88" s="6" t="n">
        <v>0</v>
      </c>
      <c r="BP88" s="6" t="n">
        <v>1</v>
      </c>
      <c r="BQ88" s="6" t="n">
        <v>1</v>
      </c>
    </row>
    <row r="89" customFormat="false" ht="16.4" hidden="false" customHeight="false" outlineLevel="0" collapsed="false">
      <c r="A89" s="1" t="s">
        <v>36</v>
      </c>
      <c r="D89" s="1" t="s">
        <v>186</v>
      </c>
      <c r="F89" s="1" t="s">
        <v>187</v>
      </c>
      <c r="J89" s="37" t="s">
        <v>38</v>
      </c>
      <c r="L89" s="4" t="s">
        <v>125</v>
      </c>
      <c r="N89" s="33" t="s">
        <v>154</v>
      </c>
      <c r="O89" s="33"/>
      <c r="P89" s="33"/>
      <c r="Q89" s="37" t="s">
        <v>41</v>
      </c>
      <c r="R89" s="37"/>
      <c r="S89" s="37"/>
      <c r="T89" s="37"/>
      <c r="U89" s="33" t="s">
        <v>155</v>
      </c>
      <c r="V89" s="33"/>
      <c r="W89" s="32" t="s">
        <v>43</v>
      </c>
      <c r="AA89" s="35" t="n">
        <v>1</v>
      </c>
      <c r="AB89" s="35" t="n">
        <v>0</v>
      </c>
      <c r="AC89" s="1" t="n">
        <v>0.5</v>
      </c>
      <c r="AD89" s="1" t="n">
        <v>0.5</v>
      </c>
      <c r="AF89" s="75" t="s">
        <v>16</v>
      </c>
      <c r="AH89" s="1" t="n">
        <v>0.25</v>
      </c>
      <c r="AI89" s="1" t="n">
        <v>0.25</v>
      </c>
      <c r="AJ89" s="1" t="n">
        <v>0.25</v>
      </c>
      <c r="AK89" s="1" t="n">
        <v>0.25</v>
      </c>
      <c r="AR89" s="35" t="n">
        <v>1</v>
      </c>
      <c r="AS89" s="35" t="n">
        <v>0</v>
      </c>
      <c r="AT89" s="1" t="n">
        <v>1</v>
      </c>
      <c r="AU89" s="1" t="n">
        <v>0</v>
      </c>
      <c r="AW89" s="1" t="n">
        <v>0</v>
      </c>
      <c r="AY89" s="1" t="n">
        <v>0.25</v>
      </c>
      <c r="AZ89" s="1" t="n">
        <v>0.25</v>
      </c>
      <c r="BA89" s="1" t="n">
        <v>0.25</v>
      </c>
      <c r="BB89" s="1" t="n">
        <v>0.25</v>
      </c>
      <c r="BG89" s="5" t="s">
        <v>16</v>
      </c>
      <c r="BK89" s="35" t="n">
        <v>1</v>
      </c>
      <c r="BL89" s="35" t="n">
        <v>0</v>
      </c>
      <c r="BN89" s="1" t="n">
        <v>0</v>
      </c>
      <c r="BO89" s="1" t="n">
        <v>0</v>
      </c>
      <c r="BP89" s="1" t="n">
        <v>0.5</v>
      </c>
      <c r="BQ89" s="1" t="n">
        <v>0.5</v>
      </c>
    </row>
    <row r="90" customFormat="false" ht="15" hidden="false" customHeight="false" outlineLevel="0" collapsed="false">
      <c r="A90" s="1" t="s">
        <v>188</v>
      </c>
      <c r="J90" s="1" t="s">
        <v>189</v>
      </c>
      <c r="L90" s="1" t="s">
        <v>47</v>
      </c>
      <c r="O90" s="42" t="n">
        <f aca="false">$O$43</f>
        <v>1</v>
      </c>
      <c r="Q90" s="4" t="s">
        <v>48</v>
      </c>
      <c r="U90" s="78" t="n">
        <f aca="false">$AX$25</f>
        <v>1</v>
      </c>
      <c r="V90" s="78"/>
      <c r="W90" s="45" t="n">
        <f aca="false">O90-U90</f>
        <v>0</v>
      </c>
      <c r="X90" s="46"/>
      <c r="BG90" s="35" t="n">
        <v>0</v>
      </c>
      <c r="BH90" s="1" t="n">
        <v>1</v>
      </c>
      <c r="BI90" s="1" t="n">
        <v>0</v>
      </c>
    </row>
    <row r="91" customFormat="false" ht="15" hidden="false" customHeight="false" outlineLevel="0" collapsed="false">
      <c r="A91" s="1" t="s">
        <v>190</v>
      </c>
      <c r="J91" s="1" t="s">
        <v>191</v>
      </c>
      <c r="L91" s="1" t="s">
        <v>47</v>
      </c>
      <c r="O91" s="78" t="n">
        <f aca="false">$AX$25</f>
        <v>1</v>
      </c>
      <c r="Q91" s="4" t="s">
        <v>192</v>
      </c>
      <c r="U91" s="42" t="n">
        <f aca="false">$O$43</f>
        <v>1</v>
      </c>
      <c r="V91" s="42"/>
      <c r="W91" s="45" t="n">
        <f aca="false">O91-U91</f>
        <v>0</v>
      </c>
      <c r="X91" s="46"/>
      <c r="AF91" s="5" t="s">
        <v>14</v>
      </c>
      <c r="AG91" s="6" t="n">
        <v>0</v>
      </c>
      <c r="AH91" s="6" t="n">
        <v>1</v>
      </c>
      <c r="AI91" s="6" t="n">
        <v>0</v>
      </c>
      <c r="AJ91" s="6" t="n">
        <v>1</v>
      </c>
      <c r="AK91" s="6" t="n">
        <v>0</v>
      </c>
      <c r="AL91" s="6" t="n">
        <v>1</v>
      </c>
      <c r="AM91" s="6" t="n">
        <v>0</v>
      </c>
      <c r="AN91" s="6" t="n">
        <v>1</v>
      </c>
      <c r="AW91" s="5" t="s">
        <v>14</v>
      </c>
      <c r="AX91" s="6" t="n">
        <v>0</v>
      </c>
      <c r="AY91" s="6" t="n">
        <v>1</v>
      </c>
      <c r="AZ91" s="6" t="n">
        <v>0</v>
      </c>
      <c r="BA91" s="6" t="n">
        <v>1</v>
      </c>
      <c r="BB91" s="6" t="n">
        <v>0</v>
      </c>
      <c r="BC91" s="6" t="n">
        <v>1</v>
      </c>
      <c r="BD91" s="6" t="n">
        <v>0</v>
      </c>
      <c r="BE91" s="6" t="n">
        <v>1</v>
      </c>
      <c r="BK91" s="5" t="s">
        <v>14</v>
      </c>
      <c r="BL91" s="6" t="n">
        <v>0</v>
      </c>
      <c r="BM91" s="6" t="n">
        <v>1</v>
      </c>
      <c r="BN91" s="6" t="n">
        <v>0</v>
      </c>
      <c r="BO91" s="6" t="n">
        <v>1</v>
      </c>
      <c r="BP91" s="6" t="n">
        <v>0</v>
      </c>
      <c r="BQ91" s="6" t="n">
        <v>1</v>
      </c>
      <c r="BR91" s="6" t="n">
        <v>0</v>
      </c>
      <c r="BS91" s="6" t="n">
        <v>1</v>
      </c>
    </row>
    <row r="92" customFormat="false" ht="15" hidden="false" customHeight="false" outlineLevel="0" collapsed="false">
      <c r="A92" s="1" t="s">
        <v>193</v>
      </c>
      <c r="AF92" s="5" t="s">
        <v>15</v>
      </c>
      <c r="AG92" s="6" t="n">
        <v>0</v>
      </c>
      <c r="AH92" s="6" t="n">
        <v>0</v>
      </c>
      <c r="AI92" s="6" t="n">
        <v>1</v>
      </c>
      <c r="AJ92" s="6" t="n">
        <v>1</v>
      </c>
      <c r="AK92" s="6" t="n">
        <v>0</v>
      </c>
      <c r="AL92" s="6" t="n">
        <v>0</v>
      </c>
      <c r="AM92" s="6" t="n">
        <v>1</v>
      </c>
      <c r="AN92" s="6" t="n">
        <v>1</v>
      </c>
      <c r="AW92" s="5" t="s">
        <v>15</v>
      </c>
      <c r="AX92" s="6" t="n">
        <v>0</v>
      </c>
      <c r="AY92" s="6" t="n">
        <v>0</v>
      </c>
      <c r="AZ92" s="6" t="n">
        <v>1</v>
      </c>
      <c r="BA92" s="6" t="n">
        <v>1</v>
      </c>
      <c r="BB92" s="6" t="n">
        <v>0</v>
      </c>
      <c r="BC92" s="6" t="n">
        <v>0</v>
      </c>
      <c r="BD92" s="6" t="n">
        <v>1</v>
      </c>
      <c r="BE92" s="6" t="n">
        <v>1</v>
      </c>
      <c r="BK92" s="5" t="s">
        <v>15</v>
      </c>
      <c r="BL92" s="6" t="n">
        <v>0</v>
      </c>
      <c r="BM92" s="6" t="n">
        <v>0</v>
      </c>
      <c r="BN92" s="6" t="n">
        <v>1</v>
      </c>
      <c r="BO92" s="6" t="n">
        <v>1</v>
      </c>
      <c r="BP92" s="6" t="n">
        <v>0</v>
      </c>
      <c r="BQ92" s="6" t="n">
        <v>0</v>
      </c>
      <c r="BR92" s="6" t="n">
        <v>1</v>
      </c>
      <c r="BS92" s="6" t="n">
        <v>1</v>
      </c>
    </row>
    <row r="93" customFormat="false" ht="15" hidden="false" customHeight="false" outlineLevel="0" collapsed="false">
      <c r="A93" s="1" t="s">
        <v>194</v>
      </c>
      <c r="AC93" s="34" t="s">
        <v>14</v>
      </c>
      <c r="AD93" s="34" t="s">
        <v>15</v>
      </c>
      <c r="AE93" s="34" t="s">
        <v>16</v>
      </c>
      <c r="AF93" s="5" t="s">
        <v>16</v>
      </c>
      <c r="AG93" s="6" t="n">
        <v>0</v>
      </c>
      <c r="AH93" s="6" t="n">
        <v>0</v>
      </c>
      <c r="AI93" s="6" t="n">
        <v>0</v>
      </c>
      <c r="AJ93" s="6" t="n">
        <v>0</v>
      </c>
      <c r="AK93" s="6" t="n">
        <v>1</v>
      </c>
      <c r="AL93" s="6" t="n">
        <v>1</v>
      </c>
      <c r="AM93" s="6" t="n">
        <v>1</v>
      </c>
      <c r="AN93" s="6" t="n">
        <v>1</v>
      </c>
      <c r="AT93" s="34" t="s">
        <v>14</v>
      </c>
      <c r="AU93" s="34" t="s">
        <v>15</v>
      </c>
      <c r="AV93" s="34" t="s">
        <v>16</v>
      </c>
      <c r="AW93" s="5" t="s">
        <v>16</v>
      </c>
      <c r="AX93" s="6" t="n">
        <v>0</v>
      </c>
      <c r="AY93" s="6" t="n">
        <v>0</v>
      </c>
      <c r="AZ93" s="6" t="n">
        <v>0</v>
      </c>
      <c r="BA93" s="6" t="n">
        <v>0</v>
      </c>
      <c r="BB93" s="6" t="n">
        <v>1</v>
      </c>
      <c r="BC93" s="6" t="n">
        <v>1</v>
      </c>
      <c r="BD93" s="6" t="n">
        <v>1</v>
      </c>
      <c r="BE93" s="6" t="n">
        <v>1</v>
      </c>
      <c r="BH93" s="34" t="s">
        <v>14</v>
      </c>
      <c r="BI93" s="34" t="s">
        <v>15</v>
      </c>
      <c r="BJ93" s="34" t="s">
        <v>16</v>
      </c>
      <c r="BK93" s="5" t="s">
        <v>16</v>
      </c>
      <c r="BL93" s="6" t="n">
        <v>0</v>
      </c>
      <c r="BM93" s="6" t="n">
        <v>0</v>
      </c>
      <c r="BN93" s="6" t="n">
        <v>0</v>
      </c>
      <c r="BO93" s="6" t="n">
        <v>0</v>
      </c>
      <c r="BP93" s="6" t="n">
        <v>1</v>
      </c>
      <c r="BQ93" s="6" t="n">
        <v>1</v>
      </c>
      <c r="BR93" s="6" t="n">
        <v>1</v>
      </c>
      <c r="BS93" s="6" t="n">
        <v>1</v>
      </c>
    </row>
    <row r="94" customFormat="false" ht="15" hidden="false" customHeight="false" outlineLevel="0" collapsed="false">
      <c r="A94" s="1" t="s">
        <v>195</v>
      </c>
      <c r="AC94" s="1" t="n">
        <v>1</v>
      </c>
      <c r="AD94" s="1" t="n">
        <v>0</v>
      </c>
      <c r="AE94" s="1" t="n">
        <v>0</v>
      </c>
      <c r="AG94" s="1" t="n">
        <f aca="false">AC89*AH89</f>
        <v>0.125</v>
      </c>
      <c r="AH94" s="1" t="n">
        <f aca="false">AC89*AI89</f>
        <v>0.125</v>
      </c>
      <c r="AI94" s="1" t="n">
        <f aca="false">AD89*AH89</f>
        <v>0.125</v>
      </c>
      <c r="AJ94" s="1" t="n">
        <f aca="false">AD89*AI89</f>
        <v>0.125</v>
      </c>
      <c r="AK94" s="1" t="n">
        <f aca="false">AC89*AJ89</f>
        <v>0.125</v>
      </c>
      <c r="AL94" s="1" t="n">
        <f aca="false">AC89*AK89</f>
        <v>0.125</v>
      </c>
      <c r="AM94" s="1" t="n">
        <f aca="false">AD89*AJ89</f>
        <v>0.125</v>
      </c>
      <c r="AN94" s="1" t="n">
        <f aca="false">AD89*AK89</f>
        <v>0.125</v>
      </c>
      <c r="AT94" s="35" t="n">
        <v>1</v>
      </c>
      <c r="AU94" s="35" t="n">
        <v>0</v>
      </c>
      <c r="AV94" s="35" t="n">
        <v>0</v>
      </c>
      <c r="AX94" s="4" t="n">
        <f aca="false">AT89*AY89</f>
        <v>0.25</v>
      </c>
      <c r="AY94" s="4" t="n">
        <f aca="false">AT89*AZ89</f>
        <v>0.25</v>
      </c>
      <c r="AZ94" s="4" t="n">
        <f aca="false">AU89*AY89</f>
        <v>0</v>
      </c>
      <c r="BA94" s="4" t="n">
        <f aca="false">AU89*AZ89</f>
        <v>0</v>
      </c>
      <c r="BB94" s="76" t="n">
        <f aca="false">AT89*BA89</f>
        <v>0.25</v>
      </c>
      <c r="BC94" s="4" t="n">
        <f aca="false">AT89*BB89</f>
        <v>0.25</v>
      </c>
      <c r="BD94" s="76" t="n">
        <f aca="false">AU89*BA89</f>
        <v>0</v>
      </c>
      <c r="BE94" s="4" t="n">
        <f aca="false">BB89*AU89</f>
        <v>0</v>
      </c>
      <c r="BH94" s="35" t="n">
        <v>1</v>
      </c>
      <c r="BI94" s="35" t="n">
        <v>0</v>
      </c>
      <c r="BJ94" s="35" t="n">
        <v>0</v>
      </c>
      <c r="BL94" s="4" t="n">
        <f aca="false">BH90*BN89</f>
        <v>0</v>
      </c>
      <c r="BM94" s="4" t="n">
        <f aca="false">BH90*BO89</f>
        <v>0</v>
      </c>
      <c r="BN94" s="4" t="n">
        <f aca="false">BI90*BN89</f>
        <v>0</v>
      </c>
      <c r="BO94" s="4" t="n">
        <f aca="false">BI89*BI90</f>
        <v>0</v>
      </c>
      <c r="BP94" s="76" t="n">
        <f aca="false">BH90*BP89</f>
        <v>0.5</v>
      </c>
      <c r="BQ94" s="4" t="n">
        <f aca="false">BH90*BQ89</f>
        <v>0.5</v>
      </c>
      <c r="BR94" s="76" t="n">
        <f aca="false">BI89*BO89</f>
        <v>0</v>
      </c>
      <c r="BS94" s="4" t="n">
        <f aca="false">BQ89*BI90</f>
        <v>0</v>
      </c>
    </row>
    <row r="95" customFormat="false" ht="15" hidden="false" customHeight="false" outlineLevel="0" collapsed="false">
      <c r="A95" s="73" t="s">
        <v>196</v>
      </c>
      <c r="AG95" s="12" t="n">
        <v>0</v>
      </c>
      <c r="AH95" s="12" t="n">
        <v>0</v>
      </c>
      <c r="AI95" s="12" t="n">
        <v>0</v>
      </c>
      <c r="AJ95" s="12" t="n">
        <v>0</v>
      </c>
      <c r="AK95" s="12" t="n">
        <v>1</v>
      </c>
      <c r="AL95" s="12" t="n">
        <v>0</v>
      </c>
      <c r="AM95" s="12" t="n">
        <v>0</v>
      </c>
      <c r="AN95" s="12" t="n">
        <v>0</v>
      </c>
      <c r="AX95" s="12" t="n">
        <v>0</v>
      </c>
      <c r="AY95" s="12" t="n">
        <v>0</v>
      </c>
      <c r="AZ95" s="12" t="n">
        <v>0</v>
      </c>
      <c r="BA95" s="12" t="n">
        <v>0</v>
      </c>
      <c r="BB95" s="12" t="n">
        <v>1</v>
      </c>
      <c r="BC95" s="12" t="n">
        <v>0</v>
      </c>
      <c r="BD95" s="12" t="n">
        <v>0</v>
      </c>
      <c r="BE95" s="12" t="n">
        <v>0</v>
      </c>
      <c r="BL95" s="12" t="n">
        <v>0</v>
      </c>
      <c r="BM95" s="12" t="n">
        <v>0</v>
      </c>
      <c r="BN95" s="12" t="n">
        <v>0</v>
      </c>
      <c r="BO95" s="12" t="n">
        <v>0</v>
      </c>
      <c r="BP95" s="12" t="n">
        <v>1</v>
      </c>
      <c r="BQ95" s="12" t="n">
        <v>0</v>
      </c>
      <c r="BR95" s="12" t="n">
        <v>0</v>
      </c>
      <c r="BS95" s="12" t="n">
        <v>0</v>
      </c>
    </row>
    <row r="96" customFormat="false" ht="13.5" hidden="false" customHeight="true" outlineLevel="0" collapsed="false">
      <c r="A96" s="73" t="s">
        <v>197</v>
      </c>
      <c r="AD96" s="4" t="s">
        <v>90</v>
      </c>
      <c r="AG96" s="4" t="n">
        <f aca="false">AG94*1+AH94*2+AI94*2+AJ94*3+AL94*1+AM94*1+AN94*2</f>
        <v>1.5</v>
      </c>
      <c r="AV96" s="4" t="s">
        <v>90</v>
      </c>
      <c r="AX96" s="4" t="n">
        <f aca="false">AX94*1+AY94*2+AZ94*2+BA94*3+BC94*1+BD94*1+BE94*2</f>
        <v>1</v>
      </c>
      <c r="BJ96" s="4" t="s">
        <v>90</v>
      </c>
      <c r="BL96" s="4" t="n">
        <f aca="false">BL94*1+BM94*2+BN94*2+BO94*3+BQ94*1+BR94*1+BS94*2</f>
        <v>0.5</v>
      </c>
    </row>
    <row r="97" customFormat="false" ht="15" hidden="false" customHeight="false" outlineLevel="0" collapsed="false">
      <c r="A97" s="74" t="s">
        <v>198</v>
      </c>
      <c r="AG97" s="5" t="s">
        <v>14</v>
      </c>
      <c r="AH97" s="6" t="n">
        <v>0</v>
      </c>
      <c r="AI97" s="6" t="n">
        <v>1</v>
      </c>
      <c r="AJ97" s="6" t="n">
        <v>0</v>
      </c>
      <c r="AK97" s="6" t="n">
        <v>1</v>
      </c>
      <c r="AQ97" s="4" t="s">
        <v>199</v>
      </c>
      <c r="AS97" s="5" t="s">
        <v>14</v>
      </c>
      <c r="AT97" s="37" t="n">
        <v>0</v>
      </c>
      <c r="AU97" s="37" t="n">
        <v>1</v>
      </c>
      <c r="AX97" s="5" t="s">
        <v>15</v>
      </c>
      <c r="AY97" s="6" t="n">
        <v>0</v>
      </c>
      <c r="AZ97" s="6" t="n">
        <v>1</v>
      </c>
      <c r="BA97" s="6" t="n">
        <v>0</v>
      </c>
      <c r="BB97" s="6" t="n">
        <v>1</v>
      </c>
    </row>
    <row r="98" customFormat="false" ht="15" hidden="false" customHeight="false" outlineLevel="0" collapsed="false">
      <c r="A98" s="73" t="s">
        <v>200</v>
      </c>
      <c r="Z98" s="4" t="s">
        <v>201</v>
      </c>
      <c r="AB98" s="4" t="s">
        <v>16</v>
      </c>
      <c r="AC98" s="37" t="n">
        <v>0</v>
      </c>
      <c r="AD98" s="37" t="n">
        <v>1</v>
      </c>
      <c r="AG98" s="5" t="s">
        <v>15</v>
      </c>
      <c r="AH98" s="6" t="n">
        <v>0</v>
      </c>
      <c r="AI98" s="6" t="n">
        <v>0</v>
      </c>
      <c r="AJ98" s="6" t="n">
        <v>1</v>
      </c>
      <c r="AK98" s="6" t="n">
        <v>1</v>
      </c>
      <c r="AR98" s="34" t="s">
        <v>14</v>
      </c>
      <c r="AS98" s="34" t="s">
        <v>15</v>
      </c>
      <c r="AW98" s="37" t="s">
        <v>16</v>
      </c>
      <c r="AX98" s="5" t="s">
        <v>16</v>
      </c>
      <c r="AY98" s="6" t="n">
        <v>0</v>
      </c>
      <c r="AZ98" s="6" t="n">
        <v>0</v>
      </c>
      <c r="BA98" s="6" t="n">
        <v>1</v>
      </c>
      <c r="BB98" s="6" t="n">
        <v>1</v>
      </c>
    </row>
    <row r="99" customFormat="false" ht="15" hidden="false" customHeight="false" outlineLevel="0" collapsed="false">
      <c r="A99" s="73" t="s">
        <v>202</v>
      </c>
      <c r="AA99" s="34" t="s">
        <v>14</v>
      </c>
      <c r="AB99" s="34" t="s">
        <v>15</v>
      </c>
      <c r="AF99" s="75" t="s">
        <v>16</v>
      </c>
      <c r="AR99" s="35" t="n">
        <v>1</v>
      </c>
      <c r="AS99" s="35" t="n">
        <v>0</v>
      </c>
      <c r="AT99" s="1" t="n">
        <v>0.5</v>
      </c>
      <c r="AU99" s="1" t="n">
        <v>0.5</v>
      </c>
      <c r="AW99" s="35" t="n">
        <v>0</v>
      </c>
      <c r="AY99" s="1" t="n">
        <v>0.5</v>
      </c>
      <c r="AZ99" s="1" t="n">
        <v>0</v>
      </c>
      <c r="BA99" s="1" t="n">
        <v>0.5</v>
      </c>
      <c r="BB99" s="1" t="n">
        <v>0</v>
      </c>
    </row>
    <row r="100" customFormat="false" ht="15" hidden="false" customHeight="false" outlineLevel="0" collapsed="false">
      <c r="A100" s="77" t="s">
        <v>203</v>
      </c>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AA100" s="35" t="n">
        <v>1</v>
      </c>
      <c r="AB100" s="35" t="n">
        <v>0</v>
      </c>
      <c r="AC100" s="11" t="n">
        <v>0</v>
      </c>
      <c r="AD100" s="11" t="n">
        <v>1</v>
      </c>
      <c r="AF100" s="1" t="n">
        <v>0</v>
      </c>
      <c r="AH100" s="11" t="n">
        <v>0.5</v>
      </c>
      <c r="AI100" s="11" t="n">
        <v>0.5</v>
      </c>
      <c r="AJ100" s="11" t="n">
        <v>0</v>
      </c>
      <c r="AK100" s="11" t="n">
        <v>0</v>
      </c>
    </row>
    <row r="101" customFormat="false" ht="15" hidden="false" customHeight="false" outlineLevel="0" collapsed="false">
      <c r="A101" s="2" t="s">
        <v>204</v>
      </c>
      <c r="AW101" s="5" t="s">
        <v>14</v>
      </c>
      <c r="AX101" s="6" t="n">
        <v>0</v>
      </c>
      <c r="AY101" s="6" t="n">
        <v>1</v>
      </c>
      <c r="AZ101" s="6" t="n">
        <v>0</v>
      </c>
      <c r="BA101" s="6" t="n">
        <v>1</v>
      </c>
      <c r="BB101" s="6" t="n">
        <v>0</v>
      </c>
      <c r="BC101" s="6" t="n">
        <v>1</v>
      </c>
      <c r="BD101" s="6" t="n">
        <v>0</v>
      </c>
      <c r="BE101" s="6" t="n">
        <v>1</v>
      </c>
    </row>
    <row r="102" customFormat="false" ht="15" hidden="false" customHeight="false" outlineLevel="0" collapsed="false">
      <c r="AF102" s="5" t="s">
        <v>14</v>
      </c>
      <c r="AG102" s="6" t="n">
        <v>0</v>
      </c>
      <c r="AH102" s="6" t="n">
        <v>1</v>
      </c>
      <c r="AI102" s="6" t="n">
        <v>0</v>
      </c>
      <c r="AJ102" s="6" t="n">
        <v>1</v>
      </c>
      <c r="AK102" s="6" t="n">
        <v>0</v>
      </c>
      <c r="AL102" s="6" t="n">
        <v>1</v>
      </c>
      <c r="AM102" s="6" t="n">
        <v>0</v>
      </c>
      <c r="AN102" s="6" t="n">
        <v>1</v>
      </c>
      <c r="AW102" s="5" t="s">
        <v>15</v>
      </c>
      <c r="AX102" s="6" t="n">
        <v>0</v>
      </c>
      <c r="AY102" s="6" t="n">
        <v>0</v>
      </c>
      <c r="AZ102" s="6" t="n">
        <v>1</v>
      </c>
      <c r="BA102" s="6" t="n">
        <v>1</v>
      </c>
      <c r="BB102" s="6" t="n">
        <v>0</v>
      </c>
      <c r="BC102" s="6" t="n">
        <v>0</v>
      </c>
      <c r="BD102" s="6" t="n">
        <v>1</v>
      </c>
      <c r="BE102" s="6" t="n">
        <v>1</v>
      </c>
    </row>
    <row r="103" customFormat="false" ht="15" hidden="false" customHeight="false" outlineLevel="0" collapsed="false">
      <c r="A103" s="95" t="s">
        <v>205</v>
      </c>
      <c r="AF103" s="5" t="s">
        <v>15</v>
      </c>
      <c r="AG103" s="6" t="n">
        <v>0</v>
      </c>
      <c r="AH103" s="6" t="n">
        <v>0</v>
      </c>
      <c r="AI103" s="6" t="n">
        <v>1</v>
      </c>
      <c r="AJ103" s="6" t="n">
        <v>1</v>
      </c>
      <c r="AK103" s="6" t="n">
        <v>0</v>
      </c>
      <c r="AL103" s="6" t="n">
        <v>0</v>
      </c>
      <c r="AM103" s="6" t="n">
        <v>1</v>
      </c>
      <c r="AN103" s="6" t="n">
        <v>1</v>
      </c>
      <c r="AT103" s="34" t="s">
        <v>14</v>
      </c>
      <c r="AU103" s="34" t="s">
        <v>15</v>
      </c>
      <c r="AV103" s="34" t="s">
        <v>16</v>
      </c>
      <c r="AW103" s="5" t="s">
        <v>16</v>
      </c>
      <c r="AX103" s="6" t="n">
        <v>0</v>
      </c>
      <c r="AY103" s="6" t="n">
        <v>0</v>
      </c>
      <c r="AZ103" s="6" t="n">
        <v>0</v>
      </c>
      <c r="BA103" s="6" t="n">
        <v>0</v>
      </c>
      <c r="BB103" s="6" t="n">
        <v>1</v>
      </c>
      <c r="BC103" s="6" t="n">
        <v>1</v>
      </c>
      <c r="BD103" s="6" t="n">
        <v>1</v>
      </c>
      <c r="BE103" s="6" t="n">
        <v>1</v>
      </c>
    </row>
    <row r="104" customFormat="false" ht="15" hidden="false" customHeight="false" outlineLevel="0" collapsed="false">
      <c r="A104" s="2" t="s">
        <v>206</v>
      </c>
      <c r="AC104" s="34" t="s">
        <v>14</v>
      </c>
      <c r="AD104" s="34" t="s">
        <v>15</v>
      </c>
      <c r="AE104" s="34" t="s">
        <v>16</v>
      </c>
      <c r="AF104" s="5" t="s">
        <v>16</v>
      </c>
      <c r="AG104" s="6" t="n">
        <v>0</v>
      </c>
      <c r="AH104" s="6" t="n">
        <v>0</v>
      </c>
      <c r="AI104" s="6" t="n">
        <v>0</v>
      </c>
      <c r="AJ104" s="6" t="n">
        <v>0</v>
      </c>
      <c r="AK104" s="6" t="n">
        <v>1</v>
      </c>
      <c r="AL104" s="6" t="n">
        <v>1</v>
      </c>
      <c r="AM104" s="6" t="n">
        <v>1</v>
      </c>
      <c r="AN104" s="6" t="n">
        <v>1</v>
      </c>
      <c r="AT104" s="35" t="n">
        <v>1</v>
      </c>
      <c r="AU104" s="35" t="n">
        <v>0</v>
      </c>
      <c r="AV104" s="35" t="n">
        <v>0</v>
      </c>
      <c r="AX104" s="4" t="n">
        <f aca="false">AT99*AY99</f>
        <v>0.25</v>
      </c>
      <c r="AY104" s="4" t="n">
        <f aca="false">AU99*AY99</f>
        <v>0.25</v>
      </c>
      <c r="AZ104" s="4" t="n">
        <f aca="false">AT99*AZ99</f>
        <v>0</v>
      </c>
      <c r="BA104" s="4" t="n">
        <f aca="false">AU99*AZ99</f>
        <v>0</v>
      </c>
      <c r="BB104" s="4" t="n">
        <f aca="false">AT99*BA99</f>
        <v>0.25</v>
      </c>
      <c r="BC104" s="4" t="n">
        <f aca="false">AU99*BA99</f>
        <v>0.25</v>
      </c>
      <c r="BD104" s="4" t="n">
        <f aca="false">AT99*BB99</f>
        <v>0</v>
      </c>
      <c r="BE104" s="4" t="n">
        <f aca="false">AU99*BB99</f>
        <v>0</v>
      </c>
    </row>
    <row r="105" customFormat="false" ht="15" hidden="false" customHeight="false" outlineLevel="0" collapsed="false">
      <c r="A105" s="2" t="s">
        <v>207</v>
      </c>
      <c r="AC105" s="1" t="n">
        <v>1</v>
      </c>
      <c r="AD105" s="1" t="n">
        <v>0</v>
      </c>
      <c r="AE105" s="1" t="n">
        <v>0</v>
      </c>
      <c r="AG105" s="11" t="n">
        <f aca="false">AC100*AH100</f>
        <v>0</v>
      </c>
      <c r="AH105" s="11" t="n">
        <f aca="false">AC100*AI100</f>
        <v>0</v>
      </c>
      <c r="AI105" s="11" t="n">
        <f aca="false">AC100*AJ100</f>
        <v>0</v>
      </c>
      <c r="AJ105" s="84" t="n">
        <f aca="false">AC100*AK100</f>
        <v>0</v>
      </c>
      <c r="AK105" s="11" t="n">
        <f aca="false">AD100*AH100</f>
        <v>0.5</v>
      </c>
      <c r="AL105" s="11" t="n">
        <f aca="false">AD100*AI100</f>
        <v>0.5</v>
      </c>
      <c r="AM105" s="11" t="n">
        <f aca="false">AD100*AJ100</f>
        <v>0</v>
      </c>
      <c r="AN105" s="11" t="n">
        <f aca="false">AD100*AK100</f>
        <v>0</v>
      </c>
      <c r="AX105" s="12" t="n">
        <v>0</v>
      </c>
      <c r="AY105" s="12" t="n">
        <v>0</v>
      </c>
      <c r="AZ105" s="12" t="n">
        <v>0</v>
      </c>
      <c r="BA105" s="12" t="n">
        <v>0</v>
      </c>
      <c r="BB105" s="12" t="n">
        <v>1</v>
      </c>
      <c r="BC105" s="12" t="n">
        <v>0</v>
      </c>
      <c r="BD105" s="12" t="n">
        <v>0</v>
      </c>
      <c r="BE105" s="12" t="n">
        <v>0</v>
      </c>
    </row>
    <row r="106" customFormat="false" ht="15" hidden="false" customHeight="false" outlineLevel="0" collapsed="false">
      <c r="A106" s="2" t="s">
        <v>208</v>
      </c>
      <c r="AG106" s="12" t="n">
        <v>0</v>
      </c>
      <c r="AH106" s="12" t="n">
        <v>0</v>
      </c>
      <c r="AI106" s="12" t="n">
        <v>0</v>
      </c>
      <c r="AJ106" s="12" t="n">
        <v>0</v>
      </c>
      <c r="AK106" s="12" t="n">
        <v>1</v>
      </c>
      <c r="AL106" s="12" t="n">
        <v>0</v>
      </c>
      <c r="AM106" s="12" t="n">
        <v>0</v>
      </c>
      <c r="AN106" s="12" t="n">
        <v>0</v>
      </c>
      <c r="AV106" s="4" t="s">
        <v>90</v>
      </c>
      <c r="AX106" s="4" t="n">
        <f aca="false">AX104*1+AY104*2+AZ104*2+BA104*3+BC104*1+BD104*1+BE104*2</f>
        <v>1</v>
      </c>
    </row>
    <row r="107" customFormat="false" ht="15" hidden="false" customHeight="false" outlineLevel="0" collapsed="false">
      <c r="A107" s="2" t="s">
        <v>209</v>
      </c>
      <c r="AD107" s="4" t="s">
        <v>90</v>
      </c>
      <c r="AG107" s="4" t="n">
        <f aca="false">AL105*1</f>
        <v>0.5</v>
      </c>
      <c r="AQ107" s="4" t="s">
        <v>210</v>
      </c>
      <c r="AT107" s="5" t="s">
        <v>15</v>
      </c>
      <c r="AU107" s="37" t="n">
        <v>0</v>
      </c>
      <c r="AV107" s="37" t="n">
        <v>1</v>
      </c>
      <c r="AX107" s="5" t="s">
        <v>14</v>
      </c>
      <c r="AY107" s="6" t="n">
        <v>0</v>
      </c>
      <c r="AZ107" s="6" t="n">
        <v>1</v>
      </c>
      <c r="BA107" s="6" t="n">
        <v>0</v>
      </c>
      <c r="BB107" s="6" t="n">
        <v>1</v>
      </c>
    </row>
    <row r="108" customFormat="false" ht="15" hidden="false" customHeight="false" outlineLevel="0" collapsed="false">
      <c r="A108" s="2" t="s">
        <v>211</v>
      </c>
      <c r="Z108" s="4" t="s">
        <v>212</v>
      </c>
      <c r="AB108" s="4" t="s">
        <v>16</v>
      </c>
      <c r="AC108" s="37" t="n">
        <v>0</v>
      </c>
      <c r="AD108" s="37" t="n">
        <v>1</v>
      </c>
      <c r="AG108" s="5" t="s">
        <v>14</v>
      </c>
      <c r="AH108" s="6" t="n">
        <v>0</v>
      </c>
      <c r="AI108" s="6" t="n">
        <v>1</v>
      </c>
      <c r="AJ108" s="6" t="n">
        <v>0</v>
      </c>
      <c r="AK108" s="6" t="n">
        <v>1</v>
      </c>
      <c r="AR108" s="34" t="s">
        <v>14</v>
      </c>
      <c r="AS108" s="34" t="s">
        <v>15</v>
      </c>
      <c r="AT108" s="34" t="s">
        <v>16</v>
      </c>
      <c r="AX108" s="5" t="s">
        <v>16</v>
      </c>
      <c r="AY108" s="6" t="n">
        <v>0</v>
      </c>
      <c r="AZ108" s="6" t="n">
        <v>0</v>
      </c>
      <c r="BA108" s="6" t="n">
        <v>1</v>
      </c>
      <c r="BB108" s="6" t="n">
        <v>1</v>
      </c>
    </row>
    <row r="109" customFormat="false" ht="15" hidden="false" customHeight="false" outlineLevel="0" collapsed="false">
      <c r="A109" s="2" t="s">
        <v>213</v>
      </c>
      <c r="Z109" s="34" t="s">
        <v>14</v>
      </c>
      <c r="AA109" s="34" t="s">
        <v>15</v>
      </c>
      <c r="AB109" s="34" t="s">
        <v>16</v>
      </c>
      <c r="AG109" s="5" t="s">
        <v>15</v>
      </c>
      <c r="AH109" s="6" t="n">
        <v>0</v>
      </c>
      <c r="AI109" s="6" t="n">
        <v>0</v>
      </c>
      <c r="AJ109" s="6" t="n">
        <v>1</v>
      </c>
      <c r="AK109" s="6" t="n">
        <v>1</v>
      </c>
      <c r="AR109" s="35" t="n">
        <v>1</v>
      </c>
      <c r="AS109" s="35" t="n">
        <v>0</v>
      </c>
      <c r="AT109" s="35" t="n">
        <v>0</v>
      </c>
      <c r="AU109" s="1" t="n">
        <v>1</v>
      </c>
      <c r="AV109" s="1" t="n">
        <v>0</v>
      </c>
      <c r="AY109" s="1" t="n">
        <v>0.125</v>
      </c>
      <c r="AZ109" s="1" t="n">
        <v>0.375</v>
      </c>
      <c r="BA109" s="1" t="n">
        <v>0.125</v>
      </c>
      <c r="BB109" s="1" t="n">
        <v>0.375</v>
      </c>
    </row>
    <row r="110" customFormat="false" ht="15" hidden="false" customHeight="false" outlineLevel="0" collapsed="false">
      <c r="Z110" s="35" t="n">
        <v>1</v>
      </c>
      <c r="AA110" s="35" t="n">
        <v>0</v>
      </c>
      <c r="AB110" s="35" t="n">
        <v>0</v>
      </c>
      <c r="AC110" s="11" t="n">
        <v>0</v>
      </c>
      <c r="AD110" s="11" t="n">
        <v>1</v>
      </c>
      <c r="AH110" s="11" t="n">
        <f aca="false">0.09375*2</f>
        <v>0.1875</v>
      </c>
      <c r="AI110" s="11" t="n">
        <f aca="false">0.03125*2</f>
        <v>0.0625</v>
      </c>
      <c r="AJ110" s="11" t="n">
        <f aca="false">0.28125*2</f>
        <v>0.5625</v>
      </c>
      <c r="AK110" s="11" t="n">
        <f aca="false">0.09375*2</f>
        <v>0.1875</v>
      </c>
    </row>
    <row r="111" customFormat="false" ht="15" hidden="false" customHeight="false" outlineLevel="0" collapsed="false">
      <c r="A111" s="96" t="s">
        <v>214</v>
      </c>
      <c r="AW111" s="5" t="s">
        <v>14</v>
      </c>
      <c r="AX111" s="6" t="n">
        <v>0</v>
      </c>
      <c r="AY111" s="6" t="n">
        <v>1</v>
      </c>
      <c r="AZ111" s="6" t="n">
        <v>0</v>
      </c>
      <c r="BA111" s="6" t="n">
        <v>1</v>
      </c>
      <c r="BB111" s="6" t="n">
        <v>0</v>
      </c>
      <c r="BC111" s="6" t="n">
        <v>1</v>
      </c>
      <c r="BD111" s="6" t="n">
        <v>0</v>
      </c>
      <c r="BE111" s="6" t="n">
        <v>1</v>
      </c>
    </row>
    <row r="112" customFormat="false" ht="15" hidden="false" customHeight="false" outlineLevel="0" collapsed="false">
      <c r="C112" s="37" t="s">
        <v>41</v>
      </c>
      <c r="D112" s="37"/>
      <c r="E112" s="32" t="s">
        <v>155</v>
      </c>
      <c r="F112" s="33"/>
      <c r="G112" s="32" t="s">
        <v>43</v>
      </c>
      <c r="AF112" s="5" t="s">
        <v>14</v>
      </c>
      <c r="AG112" s="6" t="n">
        <v>0</v>
      </c>
      <c r="AH112" s="6" t="n">
        <v>1</v>
      </c>
      <c r="AI112" s="6" t="n">
        <v>0</v>
      </c>
      <c r="AJ112" s="6" t="n">
        <v>1</v>
      </c>
      <c r="AK112" s="6" t="n">
        <v>0</v>
      </c>
      <c r="AL112" s="6" t="n">
        <v>1</v>
      </c>
      <c r="AM112" s="6" t="n">
        <v>0</v>
      </c>
      <c r="AN112" s="6" t="n">
        <v>1</v>
      </c>
      <c r="AW112" s="5" t="s">
        <v>15</v>
      </c>
      <c r="AX112" s="6" t="n">
        <v>0</v>
      </c>
      <c r="AY112" s="6" t="n">
        <v>0</v>
      </c>
      <c r="AZ112" s="6" t="n">
        <v>1</v>
      </c>
      <c r="BA112" s="6" t="n">
        <v>1</v>
      </c>
      <c r="BB112" s="6" t="n">
        <v>0</v>
      </c>
      <c r="BC112" s="6" t="n">
        <v>0</v>
      </c>
      <c r="BD112" s="6" t="n">
        <v>1</v>
      </c>
      <c r="BE112" s="6" t="n">
        <v>1</v>
      </c>
    </row>
    <row r="113" customFormat="false" ht="15" hidden="false" customHeight="false" outlineLevel="0" collapsed="false">
      <c r="C113" s="35" t="s">
        <v>61</v>
      </c>
      <c r="D113" s="35"/>
      <c r="E113" s="97" t="n">
        <f aca="false">$U$12</f>
        <v>0.25</v>
      </c>
      <c r="F113" s="98"/>
      <c r="G113" s="99" t="s">
        <v>215</v>
      </c>
      <c r="H113" s="100"/>
      <c r="AF113" s="5" t="s">
        <v>15</v>
      </c>
      <c r="AG113" s="6" t="n">
        <v>0</v>
      </c>
      <c r="AH113" s="6" t="n">
        <v>0</v>
      </c>
      <c r="AI113" s="6" t="n">
        <v>1</v>
      </c>
      <c r="AJ113" s="6" t="n">
        <v>1</v>
      </c>
      <c r="AK113" s="6" t="n">
        <v>0</v>
      </c>
      <c r="AL113" s="6" t="n">
        <v>0</v>
      </c>
      <c r="AM113" s="6" t="n">
        <v>1</v>
      </c>
      <c r="AN113" s="6" t="n">
        <v>1</v>
      </c>
      <c r="AT113" s="34" t="s">
        <v>14</v>
      </c>
      <c r="AU113" s="34" t="s">
        <v>15</v>
      </c>
      <c r="AV113" s="34" t="s">
        <v>16</v>
      </c>
      <c r="AW113" s="5" t="s">
        <v>16</v>
      </c>
      <c r="AX113" s="6" t="n">
        <v>0</v>
      </c>
      <c r="AY113" s="6" t="n">
        <v>0</v>
      </c>
      <c r="AZ113" s="6" t="n">
        <v>0</v>
      </c>
      <c r="BA113" s="6" t="n">
        <v>0</v>
      </c>
      <c r="BB113" s="6" t="n">
        <v>1</v>
      </c>
      <c r="BC113" s="6" t="n">
        <v>1</v>
      </c>
      <c r="BD113" s="6" t="n">
        <v>1</v>
      </c>
      <c r="BE113" s="6" t="n">
        <v>1</v>
      </c>
    </row>
    <row r="114" customFormat="false" ht="15" hidden="false" customHeight="false" outlineLevel="0" collapsed="false">
      <c r="C114" s="1" t="s">
        <v>119</v>
      </c>
      <c r="E114" s="81" t="n">
        <f aca="false">$BL$96</f>
        <v>0.5</v>
      </c>
      <c r="F114" s="82"/>
      <c r="AC114" s="34" t="s">
        <v>14</v>
      </c>
      <c r="AD114" s="34" t="s">
        <v>15</v>
      </c>
      <c r="AE114" s="34" t="s">
        <v>16</v>
      </c>
      <c r="AF114" s="5" t="s">
        <v>16</v>
      </c>
      <c r="AG114" s="6" t="n">
        <v>0</v>
      </c>
      <c r="AH114" s="6" t="n">
        <v>0</v>
      </c>
      <c r="AI114" s="6" t="n">
        <v>0</v>
      </c>
      <c r="AJ114" s="6" t="n">
        <v>0</v>
      </c>
      <c r="AK114" s="6" t="n">
        <v>1</v>
      </c>
      <c r="AL114" s="6" t="n">
        <v>1</v>
      </c>
      <c r="AM114" s="6" t="n">
        <v>1</v>
      </c>
      <c r="AN114" s="6" t="n">
        <v>1</v>
      </c>
      <c r="AT114" s="35" t="n">
        <v>1</v>
      </c>
      <c r="AU114" s="35" t="n">
        <v>0</v>
      </c>
      <c r="AV114" s="35" t="n">
        <v>0</v>
      </c>
      <c r="AX114" s="4" t="n">
        <f aca="false">AY109*AU109</f>
        <v>0.125</v>
      </c>
      <c r="AY114" s="4" t="n">
        <f aca="false">AZ109*AU109</f>
        <v>0.375</v>
      </c>
      <c r="AZ114" s="4" t="n">
        <f aca="false">AY109*AV109</f>
        <v>0</v>
      </c>
      <c r="BA114" s="4" t="n">
        <f aca="false">AZ109*AV109</f>
        <v>0</v>
      </c>
      <c r="BB114" s="4" t="n">
        <f aca="false">BA109*AU109</f>
        <v>0.125</v>
      </c>
      <c r="BC114" s="4" t="n">
        <f aca="false">BB109*AU109</f>
        <v>0.375</v>
      </c>
      <c r="BD114" s="4" t="n">
        <f aca="false">BA109*AV109</f>
        <v>0</v>
      </c>
      <c r="BE114" s="4" t="n">
        <f aca="false">BB109*AV109</f>
        <v>0</v>
      </c>
    </row>
    <row r="115" customFormat="false" ht="15" hidden="false" customHeight="false" outlineLevel="0" collapsed="false">
      <c r="C115" s="1" t="s">
        <v>172</v>
      </c>
      <c r="E115" s="101" t="n">
        <f aca="false">$AG$107</f>
        <v>0.5</v>
      </c>
      <c r="F115" s="102"/>
      <c r="AC115" s="35" t="n">
        <v>1</v>
      </c>
      <c r="AD115" s="35" t="n">
        <v>0</v>
      </c>
      <c r="AE115" s="35" t="n">
        <v>0</v>
      </c>
      <c r="AG115" s="11" t="n">
        <f aca="false">AC110*AH110</f>
        <v>0</v>
      </c>
      <c r="AH115" s="11" t="n">
        <f aca="false">AC110*AI110</f>
        <v>0</v>
      </c>
      <c r="AI115" s="11" t="n">
        <f aca="false">AC110*AJ110</f>
        <v>0</v>
      </c>
      <c r="AJ115" s="84" t="n">
        <f aca="false">AC110*AK110</f>
        <v>0</v>
      </c>
      <c r="AK115" s="11" t="n">
        <f aca="false">AD110*AH110</f>
        <v>0.1875</v>
      </c>
      <c r="AL115" s="11" t="n">
        <f aca="false">AD110*AI110</f>
        <v>0.0625</v>
      </c>
      <c r="AM115" s="11" t="n">
        <f aca="false">AD110*AJ110</f>
        <v>0.5625</v>
      </c>
      <c r="AN115" s="11" t="n">
        <f aca="false">AD110*AK110</f>
        <v>0.1875</v>
      </c>
      <c r="AX115" s="12" t="n">
        <v>0</v>
      </c>
      <c r="AY115" s="12" t="n">
        <v>0</v>
      </c>
      <c r="AZ115" s="12" t="n">
        <v>0</v>
      </c>
      <c r="BA115" s="12" t="n">
        <v>0</v>
      </c>
      <c r="BB115" s="12" t="n">
        <v>1</v>
      </c>
      <c r="BC115" s="12" t="n">
        <v>0</v>
      </c>
      <c r="BD115" s="12" t="n">
        <v>0</v>
      </c>
      <c r="BE115" s="12" t="n">
        <v>0</v>
      </c>
    </row>
    <row r="116" customFormat="false" ht="15" hidden="false" customHeight="false" outlineLevel="0" collapsed="false">
      <c r="C116" s="1" t="s">
        <v>192</v>
      </c>
      <c r="E116" s="103" t="n">
        <f aca="false">$O$43</f>
        <v>1</v>
      </c>
      <c r="F116" s="104"/>
      <c r="AG116" s="12" t="n">
        <v>0</v>
      </c>
      <c r="AH116" s="12" t="n">
        <v>0</v>
      </c>
      <c r="AI116" s="12" t="n">
        <v>0</v>
      </c>
      <c r="AJ116" s="12" t="n">
        <v>0</v>
      </c>
      <c r="AK116" s="12" t="n">
        <v>1</v>
      </c>
      <c r="AL116" s="12" t="n">
        <v>0</v>
      </c>
      <c r="AM116" s="12" t="n">
        <v>0</v>
      </c>
      <c r="AN116" s="12" t="n">
        <v>0</v>
      </c>
      <c r="AV116" s="4" t="s">
        <v>90</v>
      </c>
      <c r="AX116" s="4" t="n">
        <f aca="false">AX114*1+AY114*2+AZ114*2+BA114*3+BC114*1+BD114*1+BE114*2</f>
        <v>1.25</v>
      </c>
    </row>
    <row r="117" customFormat="false" ht="15" hidden="false" customHeight="false" outlineLevel="0" collapsed="false">
      <c r="C117" s="1" t="s">
        <v>216</v>
      </c>
      <c r="E117" s="1" t="n">
        <f aca="false">$AG$146</f>
        <v>0.5</v>
      </c>
      <c r="AD117" s="1" t="s">
        <v>90</v>
      </c>
      <c r="AG117" s="1" t="n">
        <f aca="false">+AL115*1+AM115*1+AN115*2</f>
        <v>1</v>
      </c>
    </row>
    <row r="118" customFormat="false" ht="15" hidden="false" customHeight="false" outlineLevel="0" collapsed="false">
      <c r="A118" s="105" t="s">
        <v>217</v>
      </c>
      <c r="B118" s="105"/>
      <c r="C118" s="106"/>
      <c r="D118" s="106"/>
      <c r="E118" s="106"/>
      <c r="F118" s="107"/>
      <c r="G118" s="107"/>
      <c r="Z118" s="4" t="s">
        <v>218</v>
      </c>
      <c r="AC118" s="4" t="s">
        <v>15</v>
      </c>
      <c r="AG118" s="5" t="s">
        <v>14</v>
      </c>
      <c r="AH118" s="6" t="n">
        <v>0</v>
      </c>
      <c r="AI118" s="6" t="n">
        <v>1</v>
      </c>
      <c r="AJ118" s="6" t="n">
        <v>0</v>
      </c>
      <c r="AK118" s="6" t="n">
        <v>1</v>
      </c>
      <c r="AQ118" s="4" t="s">
        <v>219</v>
      </c>
      <c r="AV118" s="4" t="s">
        <v>57</v>
      </c>
    </row>
    <row r="119" customFormat="false" ht="16.4" hidden="false" customHeight="false" outlineLevel="0" collapsed="false">
      <c r="A119" s="108"/>
      <c r="B119" s="108" t="s">
        <v>220</v>
      </c>
      <c r="C119" s="109"/>
      <c r="D119" s="109"/>
      <c r="E119" s="109"/>
      <c r="F119" s="110"/>
      <c r="G119" s="111"/>
      <c r="AC119" s="37" t="n">
        <v>0</v>
      </c>
      <c r="AD119" s="37" t="n">
        <v>1</v>
      </c>
      <c r="AG119" s="5" t="s">
        <v>16</v>
      </c>
      <c r="AH119" s="6" t="n">
        <v>0</v>
      </c>
      <c r="AI119" s="6" t="n">
        <v>0</v>
      </c>
      <c r="AJ119" s="6" t="n">
        <v>1</v>
      </c>
      <c r="AK119" s="6" t="n">
        <v>1</v>
      </c>
    </row>
    <row r="120" customFormat="false" ht="15" hidden="false" customHeight="false" outlineLevel="0" collapsed="false">
      <c r="AB120" s="34" t="s">
        <v>16</v>
      </c>
      <c r="AE120" s="34" t="s">
        <v>14</v>
      </c>
      <c r="AF120" s="34" t="s">
        <v>15</v>
      </c>
      <c r="BA120" s="4" t="s">
        <v>221</v>
      </c>
    </row>
    <row r="121" customFormat="false" ht="15" hidden="false" customHeight="false" outlineLevel="0" collapsed="false">
      <c r="AB121" s="35" t="n">
        <v>0</v>
      </c>
      <c r="AC121" s="1" t="n">
        <v>1</v>
      </c>
      <c r="AD121" s="1" t="n">
        <v>0</v>
      </c>
      <c r="AE121" s="35" t="n">
        <v>1</v>
      </c>
      <c r="AF121" s="35" t="n">
        <v>0</v>
      </c>
      <c r="AH121" s="1" t="n">
        <v>0</v>
      </c>
      <c r="AI121" s="1" t="n">
        <v>0</v>
      </c>
      <c r="AJ121" s="1" t="n">
        <v>0.5</v>
      </c>
      <c r="AK121" s="1" t="n">
        <v>0.5</v>
      </c>
      <c r="BA121" s="4" t="s">
        <v>222</v>
      </c>
    </row>
    <row r="122" customFormat="false" ht="29.15" hidden="false" customHeight="false" outlineLevel="0" collapsed="false">
      <c r="A122" s="112"/>
    </row>
    <row r="123" customFormat="false" ht="15" hidden="false" customHeight="false" outlineLevel="0" collapsed="false">
      <c r="AF123" s="5" t="s">
        <v>14</v>
      </c>
      <c r="AG123" s="6" t="n">
        <v>0</v>
      </c>
      <c r="AH123" s="6" t="n">
        <v>1</v>
      </c>
      <c r="AI123" s="6" t="n">
        <v>0</v>
      </c>
      <c r="AJ123" s="6" t="n">
        <v>1</v>
      </c>
      <c r="AK123" s="6" t="n">
        <v>0</v>
      </c>
      <c r="AL123" s="6" t="n">
        <v>1</v>
      </c>
      <c r="AM123" s="6" t="n">
        <v>0</v>
      </c>
      <c r="AN123" s="6" t="n">
        <v>1</v>
      </c>
    </row>
    <row r="124" customFormat="false" ht="15" hidden="false" customHeight="false" outlineLevel="0" collapsed="false">
      <c r="AF124" s="5" t="s">
        <v>15</v>
      </c>
      <c r="AG124" s="6" t="n">
        <v>0</v>
      </c>
      <c r="AH124" s="6" t="n">
        <v>0</v>
      </c>
      <c r="AI124" s="6" t="n">
        <v>1</v>
      </c>
      <c r="AJ124" s="6" t="n">
        <v>1</v>
      </c>
      <c r="AK124" s="6" t="n">
        <v>0</v>
      </c>
      <c r="AL124" s="6" t="n">
        <v>0</v>
      </c>
      <c r="AM124" s="6" t="n">
        <v>1</v>
      </c>
      <c r="AN124" s="6" t="n">
        <v>1</v>
      </c>
    </row>
    <row r="125" customFormat="false" ht="15" hidden="false" customHeight="false" outlineLevel="0" collapsed="false">
      <c r="AC125" s="34" t="s">
        <v>14</v>
      </c>
      <c r="AD125" s="34" t="s">
        <v>15</v>
      </c>
      <c r="AE125" s="34" t="s">
        <v>16</v>
      </c>
      <c r="AF125" s="5" t="s">
        <v>16</v>
      </c>
      <c r="AG125" s="6" t="n">
        <v>0</v>
      </c>
      <c r="AH125" s="6" t="n">
        <v>0</v>
      </c>
      <c r="AI125" s="6" t="n">
        <v>0</v>
      </c>
      <c r="AJ125" s="6" t="n">
        <v>0</v>
      </c>
      <c r="AK125" s="6" t="n">
        <v>1</v>
      </c>
      <c r="AL125" s="6" t="n">
        <v>1</v>
      </c>
      <c r="AM125" s="6" t="n">
        <v>1</v>
      </c>
      <c r="AN125" s="6" t="n">
        <v>1</v>
      </c>
    </row>
    <row r="126" customFormat="false" ht="15" hidden="false" customHeight="false" outlineLevel="0" collapsed="false">
      <c r="AC126" s="35" t="n">
        <v>1</v>
      </c>
      <c r="AD126" s="35" t="n">
        <v>0</v>
      </c>
      <c r="AE126" s="35" t="n">
        <v>0</v>
      </c>
      <c r="AG126" s="4" t="n">
        <f aca="false">AC121*AH121</f>
        <v>0</v>
      </c>
      <c r="AH126" s="4" t="n">
        <f aca="false">AC121*AI121</f>
        <v>0</v>
      </c>
      <c r="AI126" s="4" t="n">
        <f aca="false">AD121*AH121</f>
        <v>0</v>
      </c>
      <c r="AJ126" s="4" t="n">
        <f aca="false">AD121*AI121</f>
        <v>0</v>
      </c>
      <c r="AK126" s="4" t="n">
        <f aca="false">AC121*AJ121</f>
        <v>0.5</v>
      </c>
      <c r="AL126" s="4" t="n">
        <f aca="false">AC121*AK121</f>
        <v>0.5</v>
      </c>
      <c r="AM126" s="4" t="n">
        <f aca="false">AD121*AJ121</f>
        <v>0</v>
      </c>
      <c r="AN126" s="4" t="n">
        <f aca="false">AD121*AK121</f>
        <v>0</v>
      </c>
      <c r="AR126" s="86"/>
    </row>
    <row r="127" customFormat="false" ht="15" hidden="false" customHeight="false" outlineLevel="0" collapsed="false">
      <c r="AG127" s="12" t="n">
        <v>0</v>
      </c>
      <c r="AH127" s="12" t="n">
        <v>0</v>
      </c>
      <c r="AI127" s="12" t="n">
        <v>0</v>
      </c>
      <c r="AJ127" s="12" t="n">
        <v>0</v>
      </c>
      <c r="AK127" s="12" t="n">
        <v>1</v>
      </c>
      <c r="AL127" s="12" t="n">
        <v>0</v>
      </c>
      <c r="AM127" s="12" t="n">
        <v>0</v>
      </c>
      <c r="AN127" s="12" t="n">
        <v>0</v>
      </c>
      <c r="AQ127" s="4" t="s">
        <v>223</v>
      </c>
      <c r="AR127" s="13" t="s">
        <v>16</v>
      </c>
      <c r="AW127" s="5" t="s">
        <v>14</v>
      </c>
      <c r="AX127" s="6" t="n">
        <v>0</v>
      </c>
      <c r="AY127" s="6" t="n">
        <v>1</v>
      </c>
      <c r="AZ127" s="6" t="n">
        <v>0</v>
      </c>
      <c r="BA127" s="6" t="n">
        <v>1</v>
      </c>
    </row>
    <row r="128" customFormat="false" ht="15" hidden="false" customHeight="false" outlineLevel="0" collapsed="false">
      <c r="AD128" s="1" t="s">
        <v>90</v>
      </c>
      <c r="AG128" s="1" t="n">
        <f aca="false">AG126*1+AH126*2+AI126*2+AJ126*3+AL126*1+AM126*1+AN126*2</f>
        <v>0.5</v>
      </c>
      <c r="AR128" s="37" t="n">
        <v>0</v>
      </c>
      <c r="AS128" s="37" t="n">
        <v>1</v>
      </c>
      <c r="AW128" s="5" t="s">
        <v>15</v>
      </c>
      <c r="AX128" s="6" t="n">
        <v>0</v>
      </c>
      <c r="AY128" s="6" t="n">
        <v>0</v>
      </c>
      <c r="AZ128" s="6" t="n">
        <v>1</v>
      </c>
      <c r="BA128" s="6" t="n">
        <v>1</v>
      </c>
    </row>
    <row r="129" customFormat="false" ht="15" hidden="false" customHeight="false" outlineLevel="0" collapsed="false">
      <c r="Z129" s="1" t="s">
        <v>224</v>
      </c>
      <c r="AC129" s="1" t="s">
        <v>14</v>
      </c>
      <c r="AG129" s="5" t="s">
        <v>15</v>
      </c>
      <c r="AH129" s="6" t="n">
        <v>0</v>
      </c>
      <c r="AI129" s="6" t="n">
        <v>1</v>
      </c>
      <c r="AJ129" s="6" t="n">
        <v>0</v>
      </c>
      <c r="AK129" s="6" t="n">
        <v>1</v>
      </c>
      <c r="AQ129" s="34" t="s">
        <v>15</v>
      </c>
      <c r="AU129" s="75" t="s">
        <v>14</v>
      </c>
      <c r="AV129" s="75" t="s">
        <v>16</v>
      </c>
    </row>
    <row r="130" customFormat="false" ht="15" hidden="false" customHeight="false" outlineLevel="0" collapsed="false">
      <c r="AC130" s="37" t="n">
        <v>0</v>
      </c>
      <c r="AD130" s="37" t="n">
        <v>1</v>
      </c>
      <c r="AG130" s="5" t="s">
        <v>16</v>
      </c>
      <c r="AH130" s="6" t="n">
        <v>0</v>
      </c>
      <c r="AI130" s="6" t="n">
        <v>0</v>
      </c>
      <c r="AJ130" s="6" t="n">
        <v>1</v>
      </c>
      <c r="AK130" s="6" t="n">
        <v>1</v>
      </c>
      <c r="AQ130" s="35" t="n">
        <v>0</v>
      </c>
      <c r="AR130" s="1" t="n">
        <v>0.5</v>
      </c>
      <c r="AS130" s="1" t="n">
        <v>0.5</v>
      </c>
      <c r="AU130" s="1" t="n">
        <v>1</v>
      </c>
      <c r="AV130" s="1" t="n">
        <v>0</v>
      </c>
      <c r="AX130" s="11" t="n">
        <v>0.5</v>
      </c>
      <c r="AY130" s="11" t="n">
        <v>0.5</v>
      </c>
      <c r="AZ130" s="11" t="n">
        <v>0</v>
      </c>
      <c r="BA130" s="11" t="n">
        <v>0</v>
      </c>
    </row>
    <row r="131" customFormat="false" ht="15" hidden="false" customHeight="false" outlineLevel="0" collapsed="false">
      <c r="AB131" s="34" t="s">
        <v>16</v>
      </c>
      <c r="AE131" s="34" t="s">
        <v>14</v>
      </c>
      <c r="AF131" s="34" t="s">
        <v>15</v>
      </c>
    </row>
    <row r="132" customFormat="false" ht="15" hidden="false" customHeight="false" outlineLevel="0" collapsed="false">
      <c r="AB132" s="35" t="n">
        <v>0</v>
      </c>
      <c r="AC132" s="1" t="n">
        <v>0.5</v>
      </c>
      <c r="AD132" s="1" t="n">
        <v>0.5</v>
      </c>
      <c r="AE132" s="35" t="n">
        <v>1</v>
      </c>
      <c r="AF132" s="35" t="n">
        <v>0</v>
      </c>
      <c r="AH132" s="1" t="n">
        <v>0</v>
      </c>
      <c r="AI132" s="1" t="n">
        <v>0</v>
      </c>
      <c r="AJ132" s="1" t="n">
        <v>0.5</v>
      </c>
      <c r="AK132" s="1" t="n">
        <v>0.5</v>
      </c>
      <c r="AV132" s="5" t="s">
        <v>14</v>
      </c>
      <c r="AW132" s="6" t="n">
        <v>0</v>
      </c>
      <c r="AX132" s="6" t="n">
        <v>1</v>
      </c>
      <c r="AY132" s="6" t="n">
        <v>0</v>
      </c>
      <c r="AZ132" s="6" t="n">
        <v>1</v>
      </c>
      <c r="BA132" s="6" t="n">
        <v>0</v>
      </c>
      <c r="BB132" s="6" t="n">
        <v>1</v>
      </c>
      <c r="BC132" s="6" t="n">
        <v>0</v>
      </c>
      <c r="BD132" s="6" t="n">
        <v>1</v>
      </c>
    </row>
    <row r="133" customFormat="false" ht="15" hidden="false" customHeight="false" outlineLevel="0" collapsed="false">
      <c r="AF133" s="5" t="s">
        <v>14</v>
      </c>
      <c r="AG133" s="6" t="n">
        <v>0</v>
      </c>
      <c r="AH133" s="6" t="n">
        <v>1</v>
      </c>
      <c r="AI133" s="6" t="n">
        <v>0</v>
      </c>
      <c r="AJ133" s="6" t="n">
        <v>1</v>
      </c>
      <c r="AK133" s="6" t="n">
        <v>0</v>
      </c>
      <c r="AL133" s="6" t="n">
        <v>1</v>
      </c>
      <c r="AM133" s="6" t="n">
        <v>0</v>
      </c>
      <c r="AN133" s="6" t="n">
        <v>1</v>
      </c>
      <c r="AV133" s="5" t="s">
        <v>15</v>
      </c>
      <c r="AW133" s="6" t="n">
        <v>0</v>
      </c>
      <c r="AX133" s="6" t="n">
        <v>0</v>
      </c>
      <c r="AY133" s="6" t="n">
        <v>1</v>
      </c>
      <c r="AZ133" s="6" t="n">
        <v>1</v>
      </c>
      <c r="BA133" s="6" t="n">
        <v>0</v>
      </c>
      <c r="BB133" s="6" t="n">
        <v>0</v>
      </c>
      <c r="BC133" s="6" t="n">
        <v>1</v>
      </c>
      <c r="BD133" s="6" t="n">
        <v>1</v>
      </c>
    </row>
    <row r="134" customFormat="false" ht="15" hidden="false" customHeight="false" outlineLevel="0" collapsed="false">
      <c r="AF134" s="5" t="s">
        <v>15</v>
      </c>
      <c r="AG134" s="6" t="n">
        <v>0</v>
      </c>
      <c r="AH134" s="6" t="n">
        <v>0</v>
      </c>
      <c r="AI134" s="6" t="n">
        <v>1</v>
      </c>
      <c r="AJ134" s="6" t="n">
        <v>1</v>
      </c>
      <c r="AK134" s="6" t="n">
        <v>0</v>
      </c>
      <c r="AL134" s="6" t="n">
        <v>0</v>
      </c>
      <c r="AM134" s="6" t="n">
        <v>1</v>
      </c>
      <c r="AN134" s="6" t="n">
        <v>1</v>
      </c>
      <c r="AS134" s="34" t="s">
        <v>14</v>
      </c>
      <c r="AT134" s="34" t="s">
        <v>15</v>
      </c>
      <c r="AU134" s="34" t="s">
        <v>16</v>
      </c>
      <c r="AV134" s="5" t="s">
        <v>16</v>
      </c>
      <c r="AW134" s="6" t="n">
        <v>0</v>
      </c>
      <c r="AX134" s="6" t="n">
        <v>0</v>
      </c>
      <c r="AY134" s="6" t="n">
        <v>0</v>
      </c>
      <c r="AZ134" s="6" t="n">
        <v>0</v>
      </c>
      <c r="BA134" s="6" t="n">
        <v>1</v>
      </c>
      <c r="BB134" s="6" t="n">
        <v>1</v>
      </c>
      <c r="BC134" s="6" t="n">
        <v>1</v>
      </c>
      <c r="BD134" s="6" t="n">
        <v>1</v>
      </c>
    </row>
    <row r="135" customFormat="false" ht="15" hidden="false" customHeight="false" outlineLevel="0" collapsed="false">
      <c r="AF135" s="5" t="s">
        <v>16</v>
      </c>
      <c r="AG135" s="6" t="n">
        <v>0</v>
      </c>
      <c r="AH135" s="6" t="n">
        <v>0</v>
      </c>
      <c r="AI135" s="6" t="n">
        <v>0</v>
      </c>
      <c r="AJ135" s="6" t="n">
        <v>0</v>
      </c>
      <c r="AK135" s="6" t="n">
        <v>1</v>
      </c>
      <c r="AL135" s="6" t="n">
        <v>1</v>
      </c>
      <c r="AM135" s="6" t="n">
        <v>1</v>
      </c>
      <c r="AN135" s="6" t="n">
        <v>1</v>
      </c>
      <c r="AS135" s="35" t="n">
        <v>1</v>
      </c>
      <c r="AT135" s="35" t="n">
        <v>0</v>
      </c>
      <c r="AU135" s="35" t="n">
        <v>0</v>
      </c>
      <c r="AW135" s="11" t="n">
        <f aca="false">AR130*AX130</f>
        <v>0.25</v>
      </c>
      <c r="AX135" s="11" t="n">
        <f aca="false">AR130*AY130</f>
        <v>0.25</v>
      </c>
      <c r="AY135" s="11" t="n">
        <f aca="false">AR130*AZ130</f>
        <v>0</v>
      </c>
      <c r="AZ135" s="84" t="n">
        <f aca="false">AR130*BA130</f>
        <v>0</v>
      </c>
      <c r="BA135" s="11" t="n">
        <f aca="false">AS130*AX130</f>
        <v>0.25</v>
      </c>
      <c r="BB135" s="11" t="n">
        <f aca="false">AS130*AY130</f>
        <v>0.25</v>
      </c>
      <c r="BC135" s="11" t="n">
        <f aca="false">AS130*AZ130</f>
        <v>0</v>
      </c>
      <c r="BD135" s="11" t="n">
        <f aca="false">AS130*BA130</f>
        <v>0</v>
      </c>
    </row>
    <row r="136" customFormat="false" ht="15" hidden="false" customHeight="false" outlineLevel="0" collapsed="false">
      <c r="AC136" s="34" t="s">
        <v>14</v>
      </c>
      <c r="AD136" s="34" t="s">
        <v>15</v>
      </c>
      <c r="AE136" s="34" t="s">
        <v>16</v>
      </c>
      <c r="AW136" s="12" t="n">
        <v>0</v>
      </c>
      <c r="AX136" s="12" t="n">
        <v>0</v>
      </c>
      <c r="AY136" s="12" t="n">
        <v>0</v>
      </c>
      <c r="AZ136" s="12" t="n">
        <v>0</v>
      </c>
      <c r="BA136" s="12" t="n">
        <v>1</v>
      </c>
      <c r="BB136" s="12" t="n">
        <v>0</v>
      </c>
      <c r="BC136" s="12" t="n">
        <v>0</v>
      </c>
      <c r="BD136" s="12" t="n">
        <v>0</v>
      </c>
    </row>
    <row r="137" customFormat="false" ht="15" hidden="false" customHeight="false" outlineLevel="0" collapsed="false">
      <c r="AC137" s="35" t="n">
        <v>1</v>
      </c>
      <c r="AD137" s="35" t="n">
        <v>0</v>
      </c>
      <c r="AE137" s="35" t="n">
        <v>0</v>
      </c>
      <c r="AG137" s="4" t="n">
        <f aca="false">AC132*AH132</f>
        <v>0</v>
      </c>
      <c r="AH137" s="4" t="n">
        <f aca="false">AD132*AH132</f>
        <v>0</v>
      </c>
      <c r="AI137" s="4" t="n">
        <f aca="false">AC132*AI132</f>
        <v>0</v>
      </c>
      <c r="AJ137" s="4" t="n">
        <f aca="false">AD132*AI132</f>
        <v>0</v>
      </c>
      <c r="AK137" s="4" t="n">
        <f aca="false">AC132*AJ132</f>
        <v>0.25</v>
      </c>
      <c r="AL137" s="4" t="n">
        <f aca="false">AD132*AJ132</f>
        <v>0.25</v>
      </c>
      <c r="AM137" s="4" t="n">
        <f aca="false">AC132*AK132</f>
        <v>0.25</v>
      </c>
      <c r="AN137" s="4" t="n">
        <f aca="false">AD132*AK132</f>
        <v>0.25</v>
      </c>
      <c r="AU137" s="4" t="s">
        <v>90</v>
      </c>
      <c r="AW137" s="4" t="n">
        <f aca="false">AW135*1+AX135*2+AY135*2+AZ135*3+BB135*1+BC135*1+BD135*2</f>
        <v>1</v>
      </c>
    </row>
    <row r="138" customFormat="false" ht="19.7" hidden="false" customHeight="false" outlineLevel="0" collapsed="false">
      <c r="A138" s="113"/>
      <c r="AG138" s="12" t="n">
        <v>0</v>
      </c>
      <c r="AH138" s="12" t="n">
        <v>0</v>
      </c>
      <c r="AI138" s="12" t="n">
        <v>0</v>
      </c>
      <c r="AJ138" s="12" t="n">
        <v>0</v>
      </c>
      <c r="AK138" s="12" t="n">
        <v>1</v>
      </c>
      <c r="AL138" s="12" t="n">
        <v>0</v>
      </c>
      <c r="AM138" s="12" t="n">
        <v>0</v>
      </c>
      <c r="AN138" s="12" t="n">
        <v>0</v>
      </c>
    </row>
    <row r="139" customFormat="false" ht="15" hidden="false" customHeight="false" outlineLevel="0" collapsed="false">
      <c r="AD139" s="1" t="s">
        <v>90</v>
      </c>
      <c r="AG139" s="1" t="n">
        <f aca="false">AG137*1+AH137*2+AI137*2+AJ137*3+AL137*1+AM137*1+AN137*2</f>
        <v>1</v>
      </c>
    </row>
    <row r="140" customFormat="false" ht="15" hidden="false" customHeight="false" outlineLevel="0" collapsed="false">
      <c r="Z140" s="1" t="s">
        <v>225</v>
      </c>
      <c r="AF140" s="5" t="s">
        <v>14</v>
      </c>
      <c r="AG140" s="6" t="n">
        <v>0</v>
      </c>
      <c r="AH140" s="6" t="n">
        <v>1</v>
      </c>
      <c r="AI140" s="6" t="n">
        <v>0</v>
      </c>
      <c r="AJ140" s="6" t="n">
        <v>1</v>
      </c>
      <c r="AK140" s="6" t="n">
        <v>0</v>
      </c>
      <c r="AL140" s="6" t="n">
        <v>1</v>
      </c>
      <c r="AM140" s="6" t="n">
        <v>0</v>
      </c>
      <c r="AN140" s="6" t="n">
        <v>1</v>
      </c>
    </row>
    <row r="141" customFormat="false" ht="15" hidden="false" customHeight="false" outlineLevel="0" collapsed="false">
      <c r="AF141" s="5" t="s">
        <v>15</v>
      </c>
      <c r="AG141" s="6" t="n">
        <v>0</v>
      </c>
      <c r="AH141" s="6" t="n">
        <v>0</v>
      </c>
      <c r="AI141" s="6" t="n">
        <v>1</v>
      </c>
      <c r="AJ141" s="6" t="n">
        <v>1</v>
      </c>
      <c r="AK141" s="6" t="n">
        <v>0</v>
      </c>
      <c r="AL141" s="6" t="n">
        <v>0</v>
      </c>
      <c r="AM141" s="6" t="n">
        <v>1</v>
      </c>
      <c r="AN141" s="6" t="n">
        <v>1</v>
      </c>
    </row>
    <row r="142" customFormat="false" ht="19.7" hidden="false" customHeight="false" outlineLevel="0" collapsed="false">
      <c r="A142" s="113"/>
      <c r="H142" s="57"/>
      <c r="AF142" s="5" t="s">
        <v>16</v>
      </c>
      <c r="AG142" s="6" t="n">
        <v>0</v>
      </c>
      <c r="AH142" s="6" t="n">
        <v>0</v>
      </c>
      <c r="AI142" s="6" t="n">
        <v>0</v>
      </c>
      <c r="AJ142" s="6" t="n">
        <v>0</v>
      </c>
      <c r="AK142" s="6" t="n">
        <v>1</v>
      </c>
      <c r="AL142" s="6" t="n">
        <v>1</v>
      </c>
      <c r="AM142" s="6" t="n">
        <v>1</v>
      </c>
      <c r="AN142" s="6" t="n">
        <v>1</v>
      </c>
    </row>
    <row r="143" customFormat="false" ht="15" hidden="false" customHeight="false" outlineLevel="0" collapsed="false">
      <c r="B143" s="57"/>
      <c r="AC143" s="34" t="s">
        <v>14</v>
      </c>
      <c r="AD143" s="34" t="s">
        <v>15</v>
      </c>
      <c r="AE143" s="34" t="s">
        <v>16</v>
      </c>
    </row>
    <row r="144" customFormat="false" ht="15" hidden="false" customHeight="false" outlineLevel="0" collapsed="false">
      <c r="D144" s="57"/>
      <c r="AC144" s="35" t="n">
        <v>1</v>
      </c>
      <c r="AD144" s="35" t="n">
        <v>0</v>
      </c>
      <c r="AE144" s="35" t="n">
        <v>0</v>
      </c>
      <c r="AG144" s="1" t="n">
        <v>0.5</v>
      </c>
      <c r="AH144" s="1" t="n">
        <v>0</v>
      </c>
      <c r="AI144" s="1" t="n">
        <v>0</v>
      </c>
      <c r="AJ144" s="1" t="n">
        <v>0</v>
      </c>
      <c r="AK144" s="1" t="n">
        <v>0.5</v>
      </c>
      <c r="AL144" s="1" t="n">
        <v>0</v>
      </c>
      <c r="AM144" s="1" t="n">
        <v>0</v>
      </c>
      <c r="AN144" s="1" t="n">
        <v>0</v>
      </c>
    </row>
    <row r="145" customFormat="false" ht="19.7" hidden="false" customHeight="false" outlineLevel="0" collapsed="false">
      <c r="A145" s="113"/>
      <c r="AG145" s="12" t="n">
        <v>0</v>
      </c>
      <c r="AH145" s="12" t="n">
        <v>0</v>
      </c>
      <c r="AI145" s="12" t="n">
        <v>0</v>
      </c>
      <c r="AJ145" s="12" t="n">
        <v>0</v>
      </c>
      <c r="AK145" s="12" t="n">
        <v>1</v>
      </c>
      <c r="AL145" s="12" t="n">
        <v>0</v>
      </c>
      <c r="AM145" s="12" t="n">
        <v>0</v>
      </c>
      <c r="AN145" s="12" t="n">
        <v>0</v>
      </c>
    </row>
    <row r="146" customFormat="false" ht="19.7" hidden="false" customHeight="false" outlineLevel="0" collapsed="false">
      <c r="A146" s="113"/>
      <c r="C146" s="114"/>
      <c r="AD146" s="4" t="s">
        <v>90</v>
      </c>
      <c r="AG146" s="4" t="n">
        <f aca="false">AG144*1+AH144*2+AI144*2+AJ144*3+AL144*1+AM144*1+AN144*2</f>
        <v>0.5</v>
      </c>
    </row>
    <row r="148" customFormat="false" ht="19.7" hidden="false" customHeight="false" outlineLevel="0" collapsed="false">
      <c r="A148" s="113"/>
    </row>
    <row r="149" customFormat="false" ht="15.75" hidden="false" customHeight="true" outlineLevel="0" collapsed="false">
      <c r="A149" s="113"/>
      <c r="C149" s="114"/>
    </row>
    <row r="150" customFormat="false" ht="16.5" hidden="false" customHeight="true" outlineLevel="0" collapsed="false">
      <c r="B150" s="3"/>
      <c r="C150" s="2"/>
    </row>
    <row r="151" customFormat="false" ht="15" hidden="false" customHeight="false" outlineLevel="0" collapsed="false">
      <c r="B151" s="3"/>
    </row>
    <row r="152" customFormat="false" ht="15" hidden="false" customHeight="false" outlineLevel="0" collapsed="false">
      <c r="B152" s="2"/>
      <c r="C152" s="2"/>
      <c r="H152" s="115"/>
    </row>
    <row r="153" customFormat="false" ht="15" hidden="false" customHeight="false" outlineLevel="0" collapsed="false">
      <c r="B153" s="2"/>
      <c r="C153" s="116"/>
      <c r="H153" s="115"/>
    </row>
    <row r="154" customFormat="false" ht="15" hidden="false" customHeight="false" outlineLevel="0" collapsed="false">
      <c r="B154" s="2"/>
      <c r="C154" s="2"/>
      <c r="H154" s="115"/>
    </row>
    <row r="155" customFormat="false" ht="15" hidden="false" customHeight="false" outlineLevel="0" collapsed="false">
      <c r="B155" s="2"/>
      <c r="C155" s="2"/>
      <c r="H155" s="115"/>
    </row>
    <row r="157" customFormat="false" ht="15" hidden="false" customHeight="false" outlineLevel="0" collapsed="false">
      <c r="B157" s="2"/>
      <c r="C157" s="2"/>
      <c r="H157" s="115"/>
    </row>
    <row r="158" customFormat="false" ht="15" hidden="false" customHeight="false" outlineLevel="0" collapsed="false">
      <c r="H158" s="115"/>
    </row>
    <row r="159" customFormat="false" ht="19.7" hidden="false" customHeight="false" outlineLevel="0" collapsed="false">
      <c r="A159" s="113"/>
      <c r="H159" s="115"/>
    </row>
    <row r="160" customFormat="false" ht="15" hidden="false" customHeight="false" outlineLevel="0" collapsed="false">
      <c r="B160" s="57"/>
    </row>
    <row r="161" customFormat="false" ht="15" hidden="false" customHeight="false" outlineLevel="0" collapsed="false">
      <c r="A161" s="14"/>
      <c r="B161" s="14"/>
      <c r="C161" s="14"/>
      <c r="D161" s="117"/>
      <c r="E161" s="14"/>
      <c r="F161" s="14"/>
      <c r="G161" s="14"/>
      <c r="H161" s="14"/>
      <c r="I161" s="14"/>
      <c r="J161" s="14"/>
      <c r="K161" s="14"/>
      <c r="L161" s="14"/>
      <c r="M161" s="14"/>
      <c r="N161" s="14"/>
      <c r="AB161" s="118" t="s">
        <v>226</v>
      </c>
      <c r="AC161" s="119"/>
      <c r="AD161" s="119"/>
      <c r="AE161" s="119"/>
      <c r="AF161" s="119"/>
      <c r="AG161" s="119"/>
      <c r="AH161" s="119"/>
      <c r="AI161" s="119"/>
      <c r="AJ161" s="119"/>
      <c r="AK161" s="119"/>
      <c r="AL161" s="119"/>
      <c r="AM161" s="119"/>
      <c r="AN161" s="119"/>
      <c r="AO161" s="119"/>
      <c r="AP161" s="119"/>
      <c r="AQ161" s="119"/>
      <c r="AR161" s="119"/>
      <c r="AS161" s="120"/>
    </row>
    <row r="162" customFormat="false" ht="15" hidden="false" customHeight="false" outlineLevel="0" collapsed="false">
      <c r="A162" s="14"/>
      <c r="B162" s="14"/>
      <c r="C162" s="14"/>
      <c r="D162" s="117"/>
      <c r="E162" s="14"/>
      <c r="F162" s="14"/>
      <c r="G162" s="14"/>
      <c r="H162" s="14"/>
      <c r="I162" s="14"/>
      <c r="J162" s="14"/>
      <c r="K162" s="14"/>
      <c r="L162" s="14"/>
      <c r="M162" s="14"/>
      <c r="N162" s="14"/>
      <c r="AS162" s="121"/>
    </row>
    <row r="163" customFormat="false" ht="21" hidden="false" customHeight="true" outlineLevel="0" collapsed="false">
      <c r="A163" s="122"/>
      <c r="B163" s="14"/>
      <c r="C163" s="14"/>
      <c r="D163" s="14"/>
      <c r="E163" s="14"/>
      <c r="F163" s="14"/>
      <c r="G163" s="14"/>
      <c r="H163" s="14"/>
      <c r="I163" s="14"/>
      <c r="J163" s="14"/>
      <c r="K163" s="14"/>
      <c r="L163" s="14"/>
      <c r="M163" s="14"/>
      <c r="N163" s="14"/>
      <c r="P163" s="5" t="s">
        <v>14</v>
      </c>
      <c r="Q163" s="6" t="n">
        <v>0</v>
      </c>
      <c r="R163" s="6" t="n">
        <v>1</v>
      </c>
      <c r="S163" s="6" t="n">
        <v>0</v>
      </c>
      <c r="T163" s="6" t="n">
        <v>1</v>
      </c>
      <c r="V163" s="123"/>
      <c r="W163" s="123"/>
      <c r="X163" s="123"/>
      <c r="AB163" s="118"/>
      <c r="AH163" s="124"/>
      <c r="AI163" s="125" t="s">
        <v>227</v>
      </c>
      <c r="AJ163" s="69"/>
      <c r="AK163" s="69"/>
      <c r="AL163" s="69"/>
      <c r="AS163" s="121"/>
    </row>
    <row r="164" customFormat="false" ht="13.5" hidden="false" customHeight="true" outlineLevel="0" collapsed="false">
      <c r="A164" s="14"/>
      <c r="B164" s="14"/>
      <c r="C164" s="14"/>
      <c r="D164" s="14"/>
      <c r="E164" s="14"/>
      <c r="F164" s="126"/>
      <c r="G164" s="14"/>
      <c r="H164" s="14"/>
      <c r="I164" s="14"/>
      <c r="J164" s="14"/>
      <c r="K164" s="14"/>
      <c r="L164" s="14"/>
      <c r="M164" s="14"/>
      <c r="N164" s="14"/>
      <c r="P164" s="5" t="s">
        <v>16</v>
      </c>
      <c r="Q164" s="6" t="n">
        <v>0</v>
      </c>
      <c r="R164" s="6" t="n">
        <v>0</v>
      </c>
      <c r="S164" s="6" t="n">
        <v>1</v>
      </c>
      <c r="T164" s="6" t="n">
        <v>1</v>
      </c>
      <c r="W164" s="5" t="s">
        <v>15</v>
      </c>
      <c r="X164" s="6" t="n">
        <v>0</v>
      </c>
      <c r="Y164" s="6" t="n">
        <v>1</v>
      </c>
      <c r="AB164" s="118"/>
      <c r="AC164" s="127" t="s">
        <v>227</v>
      </c>
      <c r="AD164" s="5" t="s">
        <v>14</v>
      </c>
      <c r="AE164" s="6" t="n">
        <v>0</v>
      </c>
      <c r="AF164" s="6" t="n">
        <v>1</v>
      </c>
      <c r="AH164" s="100" t="s">
        <v>228</v>
      </c>
      <c r="AI164" s="125"/>
      <c r="AJ164" s="34" t="s">
        <v>15</v>
      </c>
      <c r="AK164" s="6" t="n">
        <v>0</v>
      </c>
      <c r="AL164" s="6" t="n">
        <v>1</v>
      </c>
      <c r="AO164" s="128"/>
      <c r="AP164" s="5" t="s">
        <v>16</v>
      </c>
      <c r="AQ164" s="6" t="n">
        <f aca="false">AH162</f>
        <v>0</v>
      </c>
      <c r="AR164" s="6" t="n">
        <v>1</v>
      </c>
      <c r="AS164" s="121"/>
    </row>
    <row r="165" customFormat="false" ht="13.5" hidden="false" customHeight="true" outlineLevel="0" collapsed="false">
      <c r="A165" s="14"/>
      <c r="B165" s="14"/>
      <c r="C165" s="23"/>
      <c r="D165" s="14"/>
      <c r="E165" s="14"/>
      <c r="F165" s="126"/>
      <c r="G165" s="14"/>
      <c r="H165" s="14"/>
      <c r="I165" s="14"/>
      <c r="J165" s="14"/>
      <c r="K165" s="14"/>
      <c r="L165" s="14"/>
      <c r="M165" s="14"/>
      <c r="N165" s="14"/>
      <c r="O165" s="37" t="s">
        <v>15</v>
      </c>
      <c r="V165" s="5" t="s">
        <v>16</v>
      </c>
      <c r="AB165" s="129" t="s">
        <v>15</v>
      </c>
      <c r="AC165" s="5" t="s">
        <v>16</v>
      </c>
      <c r="AH165" s="130" t="s">
        <v>15</v>
      </c>
      <c r="AI165" s="5" t="s">
        <v>16</v>
      </c>
      <c r="AN165" s="5" t="s">
        <v>15</v>
      </c>
      <c r="AO165" s="5" t="s">
        <v>16</v>
      </c>
      <c r="AS165" s="121"/>
    </row>
    <row r="166" customFormat="false" ht="13.5" hidden="false" customHeight="true" outlineLevel="0" collapsed="false">
      <c r="A166" s="14"/>
      <c r="B166" s="14"/>
      <c r="C166" s="14"/>
      <c r="D166" s="14"/>
      <c r="E166" s="14"/>
      <c r="F166" s="126"/>
      <c r="G166" s="14"/>
      <c r="H166" s="14"/>
      <c r="I166" s="14"/>
      <c r="J166" s="14"/>
      <c r="K166" s="14"/>
      <c r="L166" s="14"/>
      <c r="M166" s="14"/>
      <c r="N166" s="14"/>
      <c r="O166" s="1" t="n">
        <v>0</v>
      </c>
      <c r="Q166" s="1" t="n">
        <v>0.25</v>
      </c>
      <c r="R166" s="1" t="n">
        <v>0.25</v>
      </c>
      <c r="S166" s="1" t="n">
        <v>0.25</v>
      </c>
      <c r="T166" s="1" t="n">
        <v>0.25</v>
      </c>
      <c r="V166" s="123" t="n">
        <v>0</v>
      </c>
      <c r="X166" s="1" t="n">
        <v>1</v>
      </c>
      <c r="Y166" s="1" t="n">
        <v>0</v>
      </c>
      <c r="AB166" s="131" t="n">
        <v>0</v>
      </c>
      <c r="AC166" s="6" t="n">
        <v>0</v>
      </c>
      <c r="AE166" s="11" t="n">
        <v>1</v>
      </c>
      <c r="AF166" s="11" t="n">
        <v>0</v>
      </c>
      <c r="AH166" s="132" t="n">
        <v>0</v>
      </c>
      <c r="AI166" s="123" t="n">
        <v>0</v>
      </c>
      <c r="AJ166" s="123"/>
      <c r="AK166" s="123" t="n">
        <v>1</v>
      </c>
      <c r="AL166" s="123" t="n">
        <v>0</v>
      </c>
      <c r="AN166" s="6" t="n">
        <v>0</v>
      </c>
      <c r="AO166" s="6" t="n">
        <v>0</v>
      </c>
      <c r="AQ166" s="11" t="n">
        <v>0.5</v>
      </c>
      <c r="AR166" s="11" t="n">
        <v>0.5</v>
      </c>
      <c r="AS166" s="121"/>
    </row>
    <row r="167" customFormat="false" ht="13.5" hidden="false" customHeight="true" outlineLevel="0" collapsed="false">
      <c r="A167" s="14"/>
      <c r="B167" s="14"/>
      <c r="C167" s="14"/>
      <c r="D167" s="14"/>
      <c r="E167" s="14"/>
      <c r="F167" s="126"/>
      <c r="G167" s="14"/>
      <c r="H167" s="14"/>
      <c r="I167" s="14"/>
      <c r="J167" s="14"/>
      <c r="K167" s="14"/>
      <c r="L167" s="14"/>
      <c r="M167" s="14"/>
      <c r="N167" s="14"/>
      <c r="AB167" s="131" t="n">
        <v>1</v>
      </c>
      <c r="AC167" s="6" t="n">
        <v>0</v>
      </c>
      <c r="AE167" s="11" t="n">
        <v>0</v>
      </c>
      <c r="AF167" s="11" t="n">
        <v>1</v>
      </c>
      <c r="AH167" s="133" t="n">
        <v>1</v>
      </c>
      <c r="AI167" s="6" t="n">
        <v>0</v>
      </c>
      <c r="AK167" s="1" t="n">
        <v>1</v>
      </c>
      <c r="AL167" s="1" t="n">
        <v>0</v>
      </c>
      <c r="AN167" s="6" t="n">
        <v>1</v>
      </c>
      <c r="AO167" s="6" t="n">
        <v>0</v>
      </c>
      <c r="AQ167" s="11" t="n">
        <v>0.5</v>
      </c>
      <c r="AR167" s="11" t="n">
        <v>0.5</v>
      </c>
      <c r="AS167" s="121"/>
    </row>
    <row r="168" customFormat="false" ht="13.5" hidden="false" customHeight="true" outlineLevel="0" collapsed="false">
      <c r="A168" s="14"/>
      <c r="B168" s="134"/>
      <c r="C168" s="135"/>
      <c r="D168" s="14"/>
      <c r="E168" s="14"/>
      <c r="F168" s="126"/>
      <c r="G168" s="134"/>
      <c r="H168" s="135"/>
      <c r="I168" s="14"/>
      <c r="J168" s="14"/>
      <c r="K168" s="14"/>
      <c r="L168" s="14"/>
      <c r="M168" s="14"/>
      <c r="N168" s="136"/>
      <c r="P168" s="5" t="s">
        <v>14</v>
      </c>
      <c r="Q168" s="6" t="n">
        <v>0</v>
      </c>
      <c r="R168" s="6" t="n">
        <v>1</v>
      </c>
      <c r="S168" s="6" t="n">
        <v>0</v>
      </c>
      <c r="T168" s="6" t="n">
        <v>1</v>
      </c>
      <c r="U168" s="6" t="n">
        <v>0</v>
      </c>
      <c r="V168" s="6" t="n">
        <v>1</v>
      </c>
      <c r="W168" s="6" t="n">
        <v>0</v>
      </c>
      <c r="X168" s="6" t="n">
        <v>1</v>
      </c>
      <c r="AB168" s="131" t="n">
        <v>0</v>
      </c>
      <c r="AC168" s="6" t="n">
        <v>1</v>
      </c>
      <c r="AE168" s="11" t="n">
        <v>0</v>
      </c>
      <c r="AF168" s="11" t="n">
        <v>1</v>
      </c>
      <c r="AH168" s="133" t="n">
        <v>0</v>
      </c>
      <c r="AI168" s="6" t="n">
        <v>1</v>
      </c>
      <c r="AK168" s="1" t="n">
        <v>0.5</v>
      </c>
      <c r="AL168" s="1" t="n">
        <v>0.5</v>
      </c>
      <c r="AN168" s="6" t="n">
        <v>0</v>
      </c>
      <c r="AO168" s="6" t="n">
        <v>1</v>
      </c>
      <c r="AQ168" s="11" t="n">
        <v>0.5</v>
      </c>
      <c r="AR168" s="11" t="n">
        <v>0.5</v>
      </c>
      <c r="AS168" s="121"/>
    </row>
    <row r="169" customFormat="false" ht="13.5" hidden="false" customHeight="true" outlineLevel="0" collapsed="false">
      <c r="A169" s="14"/>
      <c r="B169" s="134"/>
      <c r="C169" s="14"/>
      <c r="D169" s="14"/>
      <c r="E169" s="14"/>
      <c r="F169" s="126"/>
      <c r="G169" s="134"/>
      <c r="H169" s="14"/>
      <c r="I169" s="117"/>
      <c r="J169" s="14"/>
      <c r="K169" s="14"/>
      <c r="L169" s="14"/>
      <c r="M169" s="14"/>
      <c r="N169" s="136"/>
      <c r="P169" s="5" t="s">
        <v>15</v>
      </c>
      <c r="Q169" s="6" t="n">
        <v>0</v>
      </c>
      <c r="R169" s="6" t="n">
        <v>0</v>
      </c>
      <c r="S169" s="6" t="n">
        <v>1</v>
      </c>
      <c r="T169" s="6" t="n">
        <v>1</v>
      </c>
      <c r="U169" s="6" t="n">
        <v>0</v>
      </c>
      <c r="V169" s="6" t="n">
        <v>0</v>
      </c>
      <c r="W169" s="6" t="n">
        <v>1</v>
      </c>
      <c r="X169" s="6" t="n">
        <v>1</v>
      </c>
      <c r="AB169" s="131" t="n">
        <v>1</v>
      </c>
      <c r="AC169" s="6" t="n">
        <v>1</v>
      </c>
      <c r="AE169" s="11" t="n">
        <v>0</v>
      </c>
      <c r="AF169" s="11" t="n">
        <v>1</v>
      </c>
      <c r="AH169" s="133" t="n">
        <v>1</v>
      </c>
      <c r="AI169" s="6" t="n">
        <v>1</v>
      </c>
      <c r="AK169" s="1" t="n">
        <v>0.5</v>
      </c>
      <c r="AL169" s="1" t="n">
        <v>0.5</v>
      </c>
      <c r="AN169" s="6" t="n">
        <v>1</v>
      </c>
      <c r="AO169" s="6" t="n">
        <v>1</v>
      </c>
      <c r="AQ169" s="11" t="n">
        <v>0.5</v>
      </c>
      <c r="AR169" s="11" t="n">
        <v>0.5</v>
      </c>
      <c r="AS169" s="121"/>
    </row>
    <row r="170" customFormat="false" ht="13.5" hidden="false" customHeight="true" outlineLevel="0" collapsed="false">
      <c r="A170" s="14"/>
      <c r="B170" s="14"/>
      <c r="C170" s="14"/>
      <c r="D170" s="14"/>
      <c r="E170" s="14"/>
      <c r="F170" s="126"/>
      <c r="G170" s="135"/>
      <c r="H170" s="14"/>
      <c r="I170" s="117"/>
      <c r="J170" s="14"/>
      <c r="K170" s="14"/>
      <c r="L170" s="14"/>
      <c r="M170" s="14"/>
      <c r="N170" s="136"/>
      <c r="P170" s="5" t="s">
        <v>16</v>
      </c>
      <c r="Q170" s="6" t="n">
        <v>0</v>
      </c>
      <c r="R170" s="6" t="n">
        <v>0</v>
      </c>
      <c r="S170" s="6" t="n">
        <v>0</v>
      </c>
      <c r="T170" s="6" t="n">
        <v>0</v>
      </c>
      <c r="U170" s="6" t="n">
        <v>1</v>
      </c>
      <c r="V170" s="6" t="n">
        <v>1</v>
      </c>
      <c r="W170" s="6" t="n">
        <v>1</v>
      </c>
      <c r="X170" s="6" t="n">
        <v>1</v>
      </c>
      <c r="AB170" s="118"/>
      <c r="AS170" s="121"/>
    </row>
    <row r="171" customFormat="false" ht="13.5" hidden="false" customHeight="true" outlineLevel="0" collapsed="false">
      <c r="A171" s="14"/>
      <c r="B171" s="135"/>
      <c r="C171" s="135"/>
      <c r="D171" s="14"/>
      <c r="E171" s="14"/>
      <c r="F171" s="126"/>
      <c r="G171" s="135"/>
      <c r="H171" s="135"/>
      <c r="I171" s="14"/>
      <c r="J171" s="14"/>
      <c r="K171" s="14"/>
      <c r="L171" s="14"/>
      <c r="M171" s="14"/>
      <c r="N171" s="137" t="s">
        <v>15</v>
      </c>
      <c r="O171" s="34" t="s">
        <v>16</v>
      </c>
      <c r="AB171" s="118"/>
      <c r="AF171" s="5" t="s">
        <v>14</v>
      </c>
      <c r="AG171" s="6" t="n">
        <v>0</v>
      </c>
      <c r="AH171" s="6" t="n">
        <v>1</v>
      </c>
      <c r="AI171" s="6" t="n">
        <v>0</v>
      </c>
      <c r="AJ171" s="6" t="n">
        <v>1</v>
      </c>
      <c r="AK171" s="6" t="n">
        <v>0</v>
      </c>
      <c r="AL171" s="6" t="n">
        <v>1</v>
      </c>
      <c r="AM171" s="6" t="n">
        <v>0</v>
      </c>
      <c r="AN171" s="6" t="n">
        <v>1</v>
      </c>
      <c r="AS171" s="121"/>
    </row>
    <row r="172" customFormat="false" ht="13.5" hidden="false" customHeight="true" outlineLevel="0" collapsed="false">
      <c r="A172" s="14"/>
      <c r="B172" s="135"/>
      <c r="C172" s="14"/>
      <c r="D172" s="14"/>
      <c r="E172" s="14"/>
      <c r="F172" s="126"/>
      <c r="G172" s="135"/>
      <c r="H172" s="14"/>
      <c r="I172" s="14"/>
      <c r="J172" s="14"/>
      <c r="K172" s="14"/>
      <c r="L172" s="14"/>
      <c r="M172" s="14"/>
      <c r="N172" s="138" t="n">
        <v>0</v>
      </c>
      <c r="O172" s="123" t="n">
        <v>0</v>
      </c>
      <c r="Q172" s="11" t="n">
        <f aca="false">Q166*X166</f>
        <v>0.25</v>
      </c>
      <c r="R172" s="11" t="n">
        <f aca="false">R166*X166</f>
        <v>0.25</v>
      </c>
      <c r="S172" s="11" t="n">
        <f aca="false">Q166*Y166</f>
        <v>0</v>
      </c>
      <c r="T172" s="11" t="n">
        <f aca="false">R166*Y166</f>
        <v>0</v>
      </c>
      <c r="U172" s="11" t="n">
        <f aca="false">S166*X166</f>
        <v>0.25</v>
      </c>
      <c r="V172" s="11" t="n">
        <f aca="false">T166*X166</f>
        <v>0.25</v>
      </c>
      <c r="W172" s="11" t="n">
        <f aca="false">S166*Y166</f>
        <v>0</v>
      </c>
      <c r="X172" s="11" t="n">
        <f aca="false">T166*Y166</f>
        <v>0</v>
      </c>
      <c r="AB172" s="118"/>
      <c r="AF172" s="5" t="s">
        <v>15</v>
      </c>
      <c r="AG172" s="6" t="n">
        <v>0</v>
      </c>
      <c r="AH172" s="6" t="n">
        <v>0</v>
      </c>
      <c r="AI172" s="6" t="n">
        <v>1</v>
      </c>
      <c r="AJ172" s="6" t="n">
        <v>1</v>
      </c>
      <c r="AK172" s="6" t="n">
        <v>0</v>
      </c>
      <c r="AL172" s="6" t="n">
        <v>0</v>
      </c>
      <c r="AM172" s="6" t="n">
        <v>1</v>
      </c>
      <c r="AN172" s="6" t="n">
        <v>1</v>
      </c>
      <c r="AS172" s="121"/>
    </row>
    <row r="173" customFormat="false" ht="15" hidden="false" customHeight="false" outlineLevel="0" collapsed="false">
      <c r="A173" s="14"/>
      <c r="B173" s="14"/>
      <c r="C173" s="14"/>
      <c r="D173" s="14"/>
      <c r="E173" s="14"/>
      <c r="F173" s="14"/>
      <c r="G173" s="14"/>
      <c r="H173" s="14"/>
      <c r="I173" s="14"/>
      <c r="J173" s="14"/>
      <c r="K173" s="14"/>
      <c r="L173" s="14"/>
      <c r="M173" s="14"/>
      <c r="N173" s="136"/>
      <c r="Q173" s="12" t="n">
        <f aca="false">AG174</f>
        <v>0.5</v>
      </c>
      <c r="R173" s="12" t="n">
        <f aca="false">AH174</f>
        <v>0</v>
      </c>
      <c r="S173" s="12" t="n">
        <f aca="false">AI174</f>
        <v>0</v>
      </c>
      <c r="T173" s="12" t="n">
        <f aca="false">AJ174</f>
        <v>0</v>
      </c>
      <c r="U173" s="12" t="n">
        <f aca="false">AK174</f>
        <v>0.5</v>
      </c>
      <c r="V173" s="12" t="n">
        <f aca="false">AL174</f>
        <v>0</v>
      </c>
      <c r="W173" s="12" t="n">
        <f aca="false">AM174</f>
        <v>0</v>
      </c>
      <c r="X173" s="12" t="n">
        <f aca="false">AN174</f>
        <v>0</v>
      </c>
      <c r="AB173" s="118"/>
      <c r="AF173" s="5" t="s">
        <v>16</v>
      </c>
      <c r="AG173" s="6" t="n">
        <v>0</v>
      </c>
      <c r="AH173" s="6" t="n">
        <v>0</v>
      </c>
      <c r="AI173" s="6" t="n">
        <v>0</v>
      </c>
      <c r="AJ173" s="6" t="n">
        <v>0</v>
      </c>
      <c r="AK173" s="6" t="n">
        <v>1</v>
      </c>
      <c r="AL173" s="6" t="n">
        <v>1</v>
      </c>
      <c r="AM173" s="6" t="n">
        <v>1</v>
      </c>
      <c r="AN173" s="6" t="n">
        <v>1</v>
      </c>
      <c r="AS173" s="121"/>
    </row>
    <row r="174" customFormat="false" ht="15" hidden="false" customHeight="true" outlineLevel="0" collapsed="false">
      <c r="A174" s="14"/>
      <c r="B174" s="14"/>
      <c r="C174" s="14"/>
      <c r="D174" s="14"/>
      <c r="E174" s="14"/>
      <c r="F174" s="14"/>
      <c r="G174" s="135"/>
      <c r="H174" s="14"/>
      <c r="I174" s="14"/>
      <c r="J174" s="14"/>
      <c r="K174" s="14"/>
      <c r="L174" s="14"/>
      <c r="M174" s="14"/>
      <c r="N174" s="139"/>
      <c r="O174" s="4" t="s">
        <v>229</v>
      </c>
      <c r="Q174" s="4" t="n">
        <f aca="false">R172*1+V172*1</f>
        <v>0.5</v>
      </c>
      <c r="AB174" s="118"/>
      <c r="AD174" s="34" t="s">
        <v>15</v>
      </c>
      <c r="AE174" s="34" t="s">
        <v>16</v>
      </c>
      <c r="AG174" s="12" t="n">
        <f aca="false">AE166*AK166*AQ166</f>
        <v>0.5</v>
      </c>
      <c r="AH174" s="12" t="n">
        <f aca="false">AF166*AK166*AQ166</f>
        <v>0</v>
      </c>
      <c r="AI174" s="12" t="n">
        <f aca="false">AE166*AL166*AQ166</f>
        <v>0</v>
      </c>
      <c r="AJ174" s="12" t="n">
        <f aca="false">AF166*AL166*AQ166</f>
        <v>0</v>
      </c>
      <c r="AK174" s="12" t="n">
        <f aca="false">AE166*AK166*AR166</f>
        <v>0.5</v>
      </c>
      <c r="AL174" s="12" t="n">
        <f aca="false">AF166*AK166*AR166</f>
        <v>0</v>
      </c>
      <c r="AM174" s="12" t="n">
        <f aca="false">AE166*AL166*AR166</f>
        <v>0</v>
      </c>
      <c r="AN174" s="12" t="n">
        <f aca="false">AF166*AL166*AR166</f>
        <v>0</v>
      </c>
      <c r="AP174" s="4" t="s">
        <v>230</v>
      </c>
      <c r="AS174" s="121"/>
    </row>
    <row r="175" customFormat="false" ht="15" hidden="false" customHeight="false" outlineLevel="0" collapsed="false">
      <c r="AB175" s="118"/>
      <c r="AS175" s="121"/>
    </row>
    <row r="176" customFormat="false" ht="15" hidden="false" customHeight="false" outlineLevel="0" collapsed="false">
      <c r="P176" s="5" t="s">
        <v>14</v>
      </c>
      <c r="Q176" s="6" t="n">
        <v>0</v>
      </c>
      <c r="R176" s="6" t="n">
        <v>1</v>
      </c>
      <c r="S176" s="6" t="n">
        <v>0</v>
      </c>
      <c r="T176" s="6" t="n">
        <v>1</v>
      </c>
      <c r="W176" s="5" t="s">
        <v>15</v>
      </c>
      <c r="AB176" s="140"/>
      <c r="AC176" s="141"/>
      <c r="AD176" s="141"/>
      <c r="AE176" s="141"/>
      <c r="AF176" s="141"/>
      <c r="AG176" s="141"/>
      <c r="AH176" s="141"/>
      <c r="AI176" s="141"/>
      <c r="AJ176" s="141"/>
      <c r="AK176" s="141"/>
      <c r="AL176" s="141"/>
      <c r="AM176" s="141"/>
      <c r="AN176" s="141"/>
      <c r="AO176" s="141"/>
      <c r="AP176" s="141"/>
      <c r="AQ176" s="141"/>
      <c r="AR176" s="141"/>
      <c r="AS176" s="142"/>
    </row>
    <row r="177" customFormat="false" ht="15" hidden="false" customHeight="false" outlineLevel="0" collapsed="false">
      <c r="P177" s="5" t="s">
        <v>16</v>
      </c>
      <c r="Q177" s="6" t="n">
        <v>0</v>
      </c>
      <c r="R177" s="6" t="n">
        <v>0</v>
      </c>
      <c r="S177" s="6" t="n">
        <v>1</v>
      </c>
      <c r="T177" s="6" t="n">
        <v>1</v>
      </c>
      <c r="X177" s="37" t="n">
        <v>0</v>
      </c>
      <c r="Y177" s="37" t="n">
        <v>1</v>
      </c>
    </row>
    <row r="178" customFormat="false" ht="15" hidden="false" customHeight="false" outlineLevel="0" collapsed="false">
      <c r="N178" s="75" t="s">
        <v>15</v>
      </c>
      <c r="O178" s="75" t="s">
        <v>16</v>
      </c>
    </row>
    <row r="179" customFormat="false" ht="15" hidden="false" customHeight="false" outlineLevel="0" collapsed="false">
      <c r="N179" s="1" t="n">
        <v>1</v>
      </c>
      <c r="O179" s="1" t="n">
        <v>0</v>
      </c>
      <c r="Q179" s="11" t="n">
        <v>0.5</v>
      </c>
      <c r="R179" s="11" t="n">
        <v>0</v>
      </c>
      <c r="S179" s="11" t="n">
        <v>0.5</v>
      </c>
      <c r="T179" s="11" t="n">
        <v>0</v>
      </c>
      <c r="X179" s="11" t="n">
        <v>0.75</v>
      </c>
      <c r="Y179" s="11" t="n">
        <v>0.25</v>
      </c>
    </row>
    <row r="180" customFormat="false" ht="15" hidden="false" customHeight="false" outlineLevel="0" collapsed="false">
      <c r="B180" s="3"/>
    </row>
    <row r="181" customFormat="false" ht="15" hidden="false" customHeight="false" outlineLevel="0" collapsed="false">
      <c r="B181" s="44"/>
      <c r="P181" s="5" t="s">
        <v>14</v>
      </c>
      <c r="Q181" s="6" t="n">
        <v>0</v>
      </c>
      <c r="R181" s="6" t="n">
        <v>1</v>
      </c>
      <c r="S181" s="6" t="n">
        <v>0</v>
      </c>
      <c r="T181" s="6" t="n">
        <v>1</v>
      </c>
      <c r="U181" s="6" t="n">
        <v>0</v>
      </c>
      <c r="V181" s="6" t="n">
        <v>1</v>
      </c>
      <c r="W181" s="6" t="n">
        <v>0</v>
      </c>
      <c r="X181" s="6" t="n">
        <v>1</v>
      </c>
      <c r="AC181" s="5" t="str">
        <f aca="false">AF26</f>
        <v>A</v>
      </c>
      <c r="AD181" s="6" t="n">
        <f aca="false">AG26</f>
        <v>0</v>
      </c>
      <c r="AE181" s="6" t="n">
        <f aca="false">AH26</f>
        <v>1</v>
      </c>
      <c r="AF181" s="6" t="n">
        <f aca="false">AI26</f>
        <v>0</v>
      </c>
      <c r="AG181" s="6" t="n">
        <f aca="false">AJ26</f>
        <v>1</v>
      </c>
      <c r="AH181" s="6" t="n">
        <f aca="false">AK26</f>
        <v>0</v>
      </c>
      <c r="AI181" s="6" t="n">
        <f aca="false">AL26</f>
        <v>1</v>
      </c>
      <c r="AJ181" s="6" t="n">
        <f aca="false">AM26</f>
        <v>0</v>
      </c>
      <c r="AK181" s="6" t="n">
        <f aca="false">AN26</f>
        <v>1</v>
      </c>
    </row>
    <row r="182" customFormat="false" ht="15" hidden="false" customHeight="false" outlineLevel="0" collapsed="false">
      <c r="P182" s="5" t="s">
        <v>15</v>
      </c>
      <c r="Q182" s="6" t="n">
        <v>0</v>
      </c>
      <c r="R182" s="6" t="n">
        <v>0</v>
      </c>
      <c r="S182" s="6" t="n">
        <v>1</v>
      </c>
      <c r="T182" s="6" t="n">
        <v>1</v>
      </c>
      <c r="U182" s="6" t="n">
        <v>0</v>
      </c>
      <c r="V182" s="6" t="n">
        <v>0</v>
      </c>
      <c r="W182" s="6" t="n">
        <v>1</v>
      </c>
      <c r="X182" s="6" t="n">
        <v>1</v>
      </c>
      <c r="AC182" s="5" t="str">
        <f aca="false">AF27</f>
        <v>B</v>
      </c>
      <c r="AD182" s="6" t="n">
        <f aca="false">AG27</f>
        <v>0</v>
      </c>
      <c r="AE182" s="6" t="n">
        <f aca="false">AH27</f>
        <v>0</v>
      </c>
      <c r="AF182" s="6" t="n">
        <f aca="false">AI27</f>
        <v>1</v>
      </c>
      <c r="AG182" s="6" t="n">
        <f aca="false">AJ27</f>
        <v>1</v>
      </c>
      <c r="AH182" s="6" t="n">
        <f aca="false">AK27</f>
        <v>0</v>
      </c>
      <c r="AI182" s="6" t="n">
        <f aca="false">AL27</f>
        <v>0</v>
      </c>
      <c r="AJ182" s="6" t="n">
        <f aca="false">AM27</f>
        <v>1</v>
      </c>
      <c r="AK182" s="6" t="n">
        <f aca="false">AN27</f>
        <v>1</v>
      </c>
    </row>
    <row r="183" customFormat="false" ht="15" hidden="false" customHeight="false" outlineLevel="0" collapsed="false">
      <c r="P183" s="5" t="s">
        <v>16</v>
      </c>
      <c r="Q183" s="6" t="n">
        <v>0</v>
      </c>
      <c r="R183" s="6" t="n">
        <v>0</v>
      </c>
      <c r="S183" s="6" t="n">
        <v>0</v>
      </c>
      <c r="T183" s="6" t="n">
        <v>0</v>
      </c>
      <c r="U183" s="6" t="n">
        <v>1</v>
      </c>
      <c r="V183" s="6" t="n">
        <v>1</v>
      </c>
      <c r="W183" s="6" t="n">
        <v>1</v>
      </c>
      <c r="X183" s="6" t="n">
        <v>1</v>
      </c>
      <c r="AC183" s="5" t="str">
        <f aca="false">AF28</f>
        <v>C</v>
      </c>
      <c r="AD183" s="6" t="n">
        <f aca="false">AG28</f>
        <v>0</v>
      </c>
      <c r="AE183" s="6" t="n">
        <f aca="false">AH28</f>
        <v>0</v>
      </c>
      <c r="AF183" s="6" t="n">
        <f aca="false">AI28</f>
        <v>0</v>
      </c>
      <c r="AG183" s="6" t="n">
        <f aca="false">AJ28</f>
        <v>0</v>
      </c>
      <c r="AH183" s="6" t="n">
        <f aca="false">AK28</f>
        <v>1</v>
      </c>
      <c r="AI183" s="6" t="n">
        <f aca="false">AL28</f>
        <v>1</v>
      </c>
      <c r="AJ183" s="6" t="n">
        <f aca="false">AM28</f>
        <v>1</v>
      </c>
      <c r="AK183" s="6" t="n">
        <f aca="false">AN28</f>
        <v>1</v>
      </c>
    </row>
    <row r="184" customFormat="false" ht="15" hidden="false" customHeight="false" outlineLevel="0" collapsed="false">
      <c r="N184" s="34" t="s">
        <v>15</v>
      </c>
      <c r="O184" s="34" t="s">
        <v>16</v>
      </c>
      <c r="AB184" s="34" t="str">
        <f aca="false">AE29</f>
        <v>B</v>
      </c>
      <c r="AM184" s="5" t="s">
        <v>16</v>
      </c>
    </row>
    <row r="185" customFormat="false" ht="19.7" hidden="false" customHeight="false" outlineLevel="0" collapsed="false">
      <c r="A185" s="113"/>
      <c r="N185" s="123" t="n">
        <v>0</v>
      </c>
      <c r="O185" s="123" t="n">
        <v>0</v>
      </c>
      <c r="Q185" s="11" t="n">
        <f aca="false">Q179*X179</f>
        <v>0.375</v>
      </c>
      <c r="R185" s="11" t="n">
        <f aca="false">R179*X179</f>
        <v>0</v>
      </c>
      <c r="S185" s="11" t="n">
        <f aca="false">Q179*Y179</f>
        <v>0.125</v>
      </c>
      <c r="T185" s="11" t="n">
        <f aca="false">R179*Y179</f>
        <v>0</v>
      </c>
      <c r="U185" s="11" t="n">
        <f aca="false">S179*X179</f>
        <v>0.375</v>
      </c>
      <c r="V185" s="11" t="n">
        <f aca="false">T179*X179</f>
        <v>0</v>
      </c>
      <c r="W185" s="11" t="n">
        <f aca="false">S179*Y179</f>
        <v>0.125</v>
      </c>
      <c r="X185" s="11" t="n">
        <f aca="false">T179*Y179</f>
        <v>0</v>
      </c>
      <c r="Y185" s="76"/>
      <c r="AB185" s="35" t="n">
        <f aca="false">AE30</f>
        <v>0</v>
      </c>
      <c r="AD185" s="4" t="n">
        <f aca="false">AG30</f>
        <v>0.1875</v>
      </c>
      <c r="AE185" s="4" t="n">
        <f aca="false">AH30</f>
        <v>0.1875</v>
      </c>
      <c r="AF185" s="4" t="n">
        <f aca="false">AI30</f>
        <v>0.0625</v>
      </c>
      <c r="AG185" s="4" t="n">
        <f aca="false">AJ30</f>
        <v>0.0625</v>
      </c>
      <c r="AH185" s="4" t="n">
        <f aca="false">AK30</f>
        <v>0.1875</v>
      </c>
      <c r="AI185" s="4" t="n">
        <f aca="false">AL30</f>
        <v>0.1875</v>
      </c>
      <c r="AJ185" s="4" t="n">
        <f aca="false">AM30</f>
        <v>0.0625</v>
      </c>
      <c r="AK185" s="4" t="n">
        <f aca="false">AN30</f>
        <v>0.0625</v>
      </c>
      <c r="AM185" s="63" t="n">
        <v>0</v>
      </c>
      <c r="AN185" s="11" t="n">
        <v>1</v>
      </c>
    </row>
    <row r="186" customFormat="false" ht="15" hidden="false" customHeight="false" outlineLevel="0" collapsed="false">
      <c r="A186" s="13"/>
      <c r="Q186" s="12" t="n">
        <f aca="false">AG174</f>
        <v>0.5</v>
      </c>
      <c r="R186" s="12" t="n">
        <f aca="false">AH174</f>
        <v>0</v>
      </c>
      <c r="S186" s="12" t="n">
        <f aca="false">AI174</f>
        <v>0</v>
      </c>
      <c r="T186" s="12" t="n">
        <f aca="false">AJ174</f>
        <v>0</v>
      </c>
      <c r="U186" s="12" t="n">
        <f aca="false">AK174</f>
        <v>0.5</v>
      </c>
      <c r="V186" s="12" t="n">
        <f aca="false">AL174</f>
        <v>0</v>
      </c>
      <c r="W186" s="12" t="n">
        <f aca="false">AM174</f>
        <v>0</v>
      </c>
      <c r="X186" s="12" t="n">
        <f aca="false">AN174</f>
        <v>0</v>
      </c>
    </row>
    <row r="187" customFormat="false" ht="15" hidden="false" customHeight="false" outlineLevel="0" collapsed="false">
      <c r="O187" s="1" t="s">
        <v>229</v>
      </c>
      <c r="Q187" s="1" t="n">
        <f aca="false">S185*1+W185*1</f>
        <v>0.25</v>
      </c>
      <c r="AE187" s="5" t="s">
        <v>14</v>
      </c>
      <c r="AF187" s="6" t="n">
        <v>0</v>
      </c>
      <c r="AG187" s="6" t="n">
        <v>1</v>
      </c>
      <c r="AH187" s="6" t="n">
        <v>0</v>
      </c>
      <c r="AI187" s="6" t="n">
        <v>1</v>
      </c>
      <c r="AJ187" s="6" t="n">
        <v>0</v>
      </c>
      <c r="AK187" s="6" t="n">
        <v>1</v>
      </c>
      <c r="AL187" s="6" t="n">
        <v>0</v>
      </c>
      <c r="AM187" s="6" t="n">
        <v>1</v>
      </c>
    </row>
    <row r="188" customFormat="false" ht="15" hidden="false" customHeight="false" outlineLevel="0" collapsed="false">
      <c r="AE188" s="5" t="s">
        <v>15</v>
      </c>
      <c r="AF188" s="6" t="n">
        <v>0</v>
      </c>
      <c r="AG188" s="6" t="n">
        <v>0</v>
      </c>
      <c r="AH188" s="6" t="n">
        <v>1</v>
      </c>
      <c r="AI188" s="6" t="n">
        <v>1</v>
      </c>
      <c r="AJ188" s="6" t="n">
        <v>0</v>
      </c>
      <c r="AK188" s="6" t="n">
        <v>0</v>
      </c>
      <c r="AL188" s="6" t="n">
        <v>1</v>
      </c>
      <c r="AM188" s="6" t="n">
        <v>1</v>
      </c>
    </row>
    <row r="189" customFormat="false" ht="15" hidden="false" customHeight="false" outlineLevel="0" collapsed="false">
      <c r="AE189" s="5" t="s">
        <v>16</v>
      </c>
      <c r="AF189" s="6" t="n">
        <v>0</v>
      </c>
      <c r="AG189" s="6" t="n">
        <v>0</v>
      </c>
      <c r="AH189" s="6" t="n">
        <v>0</v>
      </c>
      <c r="AI189" s="6" t="n">
        <v>0</v>
      </c>
      <c r="AJ189" s="6" t="n">
        <v>1</v>
      </c>
      <c r="AK189" s="6" t="n">
        <v>1</v>
      </c>
      <c r="AL189" s="6" t="n">
        <v>1</v>
      </c>
      <c r="AM189" s="6" t="n">
        <v>1</v>
      </c>
    </row>
    <row r="190" customFormat="false" ht="15" hidden="false" customHeight="false" outlineLevel="0" collapsed="false">
      <c r="AC190" s="34" t="s">
        <v>15</v>
      </c>
      <c r="AD190" s="34" t="s">
        <v>16</v>
      </c>
      <c r="AF190" s="12" t="n">
        <f aca="false">AD185</f>
        <v>0.1875</v>
      </c>
      <c r="AG190" s="12" t="n">
        <f aca="false">AE185</f>
        <v>0.1875</v>
      </c>
      <c r="AH190" s="12" t="n">
        <f aca="false">AF185</f>
        <v>0.0625</v>
      </c>
      <c r="AI190" s="12" t="n">
        <f aca="false">AG185</f>
        <v>0.0625</v>
      </c>
      <c r="AJ190" s="12" t="n">
        <f aca="false">AH185</f>
        <v>0.1875</v>
      </c>
      <c r="AK190" s="12" t="n">
        <f aca="false">AI185</f>
        <v>0.1875</v>
      </c>
      <c r="AL190" s="12" t="n">
        <f aca="false">AJ185</f>
        <v>0.0625</v>
      </c>
      <c r="AM190" s="12" t="n">
        <f aca="false">AK185</f>
        <v>0.0625</v>
      </c>
    </row>
    <row r="191" customFormat="false" ht="15" hidden="false" customHeight="false" outlineLevel="0" collapsed="false">
      <c r="B191" s="2"/>
      <c r="C191" s="2"/>
      <c r="Q191" s="5" t="s">
        <v>14</v>
      </c>
      <c r="R191" s="6" t="n">
        <v>0</v>
      </c>
      <c r="S191" s="6" t="n">
        <v>1</v>
      </c>
      <c r="T191" s="6" t="n">
        <v>0</v>
      </c>
      <c r="U191" s="6" t="n">
        <v>1</v>
      </c>
      <c r="V191" s="6" t="n">
        <v>0</v>
      </c>
      <c r="W191" s="6" t="n">
        <v>1</v>
      </c>
      <c r="X191" s="6" t="n">
        <v>0</v>
      </c>
      <c r="Y191" s="6" t="n">
        <v>1</v>
      </c>
      <c r="AF191" s="4" t="n">
        <f aca="false">AG174</f>
        <v>0.5</v>
      </c>
      <c r="AG191" s="4" t="n">
        <f aca="false">AH174</f>
        <v>0</v>
      </c>
      <c r="AH191" s="4" t="n">
        <f aca="false">AI174</f>
        <v>0</v>
      </c>
      <c r="AI191" s="4" t="n">
        <f aca="false">AJ174</f>
        <v>0</v>
      </c>
      <c r="AJ191" s="4" t="n">
        <f aca="false">AK174</f>
        <v>0.5</v>
      </c>
      <c r="AK191" s="4" t="n">
        <f aca="false">AL174</f>
        <v>0</v>
      </c>
      <c r="AL191" s="4" t="n">
        <f aca="false">AM174</f>
        <v>0</v>
      </c>
      <c r="AM191" s="4" t="n">
        <f aca="false">AN174</f>
        <v>0</v>
      </c>
    </row>
    <row r="192" customFormat="false" ht="15" hidden="false" customHeight="false" outlineLevel="0" collapsed="false">
      <c r="Q192" s="5" t="s">
        <v>15</v>
      </c>
      <c r="R192" s="6" t="n">
        <v>0</v>
      </c>
      <c r="S192" s="6" t="n">
        <v>0</v>
      </c>
      <c r="T192" s="6" t="n">
        <v>1</v>
      </c>
      <c r="U192" s="6" t="n">
        <v>1</v>
      </c>
      <c r="V192" s="6" t="n">
        <v>0</v>
      </c>
      <c r="W192" s="6" t="n">
        <v>0</v>
      </c>
      <c r="X192" s="6" t="n">
        <v>1</v>
      </c>
      <c r="Y192" s="6" t="n">
        <v>1</v>
      </c>
      <c r="AC192" s="4" t="s">
        <v>229</v>
      </c>
      <c r="AF192" s="4" t="n">
        <f aca="false">AG190*1+AH190*1+AI190*2+AK190*1+AL190*1+AM190*2</f>
        <v>0.75</v>
      </c>
    </row>
    <row r="193" customFormat="false" ht="15" hidden="false" customHeight="false" outlineLevel="0" collapsed="false">
      <c r="N193" s="34" t="s">
        <v>14</v>
      </c>
      <c r="O193" s="34" t="s">
        <v>15</v>
      </c>
      <c r="P193" s="34" t="s">
        <v>16</v>
      </c>
      <c r="Q193" s="5" t="s">
        <v>16</v>
      </c>
      <c r="R193" s="6" t="n">
        <v>0</v>
      </c>
      <c r="S193" s="6" t="n">
        <v>0</v>
      </c>
      <c r="T193" s="6" t="n">
        <v>0</v>
      </c>
      <c r="U193" s="6" t="n">
        <v>0</v>
      </c>
      <c r="V193" s="6" t="n">
        <v>1</v>
      </c>
      <c r="W193" s="6" t="n">
        <v>1</v>
      </c>
      <c r="X193" s="6" t="n">
        <v>1</v>
      </c>
      <c r="Y193" s="6" t="n">
        <v>1</v>
      </c>
    </row>
    <row r="194" customFormat="false" ht="15" hidden="false" customHeight="false" outlineLevel="0" collapsed="false">
      <c r="N194" s="1" t="n">
        <v>1</v>
      </c>
      <c r="O194" s="1" t="n">
        <v>0</v>
      </c>
      <c r="P194" s="1" t="n">
        <v>0</v>
      </c>
      <c r="R194" s="11" t="n">
        <f aca="false">AG105</f>
        <v>0</v>
      </c>
      <c r="S194" s="11" t="n">
        <f aca="false">AH105</f>
        <v>0</v>
      </c>
      <c r="T194" s="11" t="n">
        <f aca="false">AI105</f>
        <v>0</v>
      </c>
      <c r="U194" s="84" t="n">
        <f aca="false">AJ105</f>
        <v>0</v>
      </c>
      <c r="V194" s="11" t="n">
        <f aca="false">AK105</f>
        <v>0.5</v>
      </c>
      <c r="W194" s="11" t="n">
        <f aca="false">AL105</f>
        <v>0.5</v>
      </c>
      <c r="X194" s="11" t="n">
        <f aca="false">AM105</f>
        <v>0</v>
      </c>
      <c r="Y194" s="11" t="n">
        <f aca="false">AN105</f>
        <v>0</v>
      </c>
    </row>
    <row r="195" customFormat="false" ht="15" hidden="false" customHeight="false" outlineLevel="0" collapsed="false">
      <c r="R195" s="12" t="n">
        <f aca="false">AG106</f>
        <v>0</v>
      </c>
      <c r="S195" s="12" t="n">
        <f aca="false">AH106</f>
        <v>0</v>
      </c>
      <c r="T195" s="12" t="n">
        <f aca="false">AI106</f>
        <v>0</v>
      </c>
      <c r="U195" s="12" t="n">
        <f aca="false">AJ106</f>
        <v>0</v>
      </c>
      <c r="V195" s="12" t="n">
        <f aca="false">AK106</f>
        <v>1</v>
      </c>
      <c r="W195" s="12" t="n">
        <f aca="false">AL106</f>
        <v>0</v>
      </c>
      <c r="X195" s="12" t="n">
        <f aca="false">AM106</f>
        <v>0</v>
      </c>
      <c r="Y195" s="12" t="n">
        <f aca="false">AN106</f>
        <v>0</v>
      </c>
    </row>
    <row r="196" customFormat="false" ht="15" hidden="false" customHeight="false" outlineLevel="0" collapsed="false">
      <c r="O196" s="1" t="s">
        <v>90</v>
      </c>
      <c r="R196" s="1" t="n">
        <f aca="false">AG107</f>
        <v>0.5</v>
      </c>
    </row>
    <row r="197" customFormat="false" ht="15" hidden="false" customHeight="false" outlineLevel="0" collapsed="false">
      <c r="Q197" s="5" t="s">
        <v>14</v>
      </c>
      <c r="R197" s="6" t="n">
        <v>0</v>
      </c>
      <c r="S197" s="6" t="n">
        <v>1</v>
      </c>
      <c r="T197" s="6" t="n">
        <v>0</v>
      </c>
      <c r="U197" s="6" t="n">
        <v>1</v>
      </c>
      <c r="V197" s="6" t="n">
        <v>0</v>
      </c>
      <c r="W197" s="6" t="n">
        <v>1</v>
      </c>
      <c r="X197" s="6" t="n">
        <v>0</v>
      </c>
      <c r="Y197" s="6" t="n">
        <v>1</v>
      </c>
    </row>
    <row r="198" customFormat="false" ht="15" hidden="false" customHeight="false" outlineLevel="0" collapsed="false">
      <c r="Q198" s="5" t="s">
        <v>15</v>
      </c>
      <c r="R198" s="6" t="n">
        <v>0</v>
      </c>
      <c r="S198" s="6" t="n">
        <v>0</v>
      </c>
      <c r="T198" s="6" t="n">
        <v>1</v>
      </c>
      <c r="U198" s="6" t="n">
        <v>1</v>
      </c>
      <c r="V198" s="6" t="n">
        <v>0</v>
      </c>
      <c r="W198" s="6" t="n">
        <v>0</v>
      </c>
      <c r="X198" s="6" t="n">
        <v>1</v>
      </c>
      <c r="Y198" s="6" t="n">
        <v>1</v>
      </c>
    </row>
    <row r="199" customFormat="false" ht="15" hidden="false" customHeight="false" outlineLevel="0" collapsed="false">
      <c r="Q199" s="5" t="s">
        <v>16</v>
      </c>
      <c r="R199" s="6" t="n">
        <v>0</v>
      </c>
      <c r="S199" s="6" t="n">
        <v>0</v>
      </c>
      <c r="T199" s="6" t="n">
        <v>0</v>
      </c>
      <c r="U199" s="6" t="n">
        <v>0</v>
      </c>
      <c r="V199" s="6" t="n">
        <v>1</v>
      </c>
      <c r="W199" s="6" t="n">
        <v>1</v>
      </c>
      <c r="X199" s="6" t="n">
        <v>1</v>
      </c>
      <c r="Y199" s="6" t="n">
        <v>1</v>
      </c>
    </row>
    <row r="200" customFormat="false" ht="15" hidden="false" customHeight="false" outlineLevel="0" collapsed="false">
      <c r="N200" s="34" t="s">
        <v>14</v>
      </c>
      <c r="O200" s="34" t="s">
        <v>15</v>
      </c>
      <c r="P200" s="34" t="s">
        <v>16</v>
      </c>
    </row>
    <row r="201" customFormat="false" ht="15" hidden="false" customHeight="false" outlineLevel="0" collapsed="false">
      <c r="N201" s="35" t="n">
        <v>1</v>
      </c>
      <c r="O201" s="35" t="n">
        <v>0</v>
      </c>
      <c r="P201" s="35" t="n">
        <v>0</v>
      </c>
      <c r="R201" s="4" t="n">
        <f aca="false">AG137</f>
        <v>0</v>
      </c>
      <c r="S201" s="4" t="n">
        <f aca="false">AH137</f>
        <v>0</v>
      </c>
      <c r="T201" s="4" t="n">
        <f aca="false">AI137</f>
        <v>0</v>
      </c>
      <c r="U201" s="4" t="n">
        <f aca="false">AJ137</f>
        <v>0</v>
      </c>
      <c r="V201" s="4" t="n">
        <f aca="false">AK137</f>
        <v>0.25</v>
      </c>
      <c r="W201" s="4" t="n">
        <f aca="false">AL137</f>
        <v>0.25</v>
      </c>
      <c r="X201" s="4" t="n">
        <f aca="false">AM137</f>
        <v>0.25</v>
      </c>
      <c r="Y201" s="4" t="n">
        <f aca="false">AN137</f>
        <v>0.25</v>
      </c>
    </row>
    <row r="202" customFormat="false" ht="15" hidden="false" customHeight="false" outlineLevel="0" collapsed="false">
      <c r="R202" s="12" t="n">
        <f aca="false">AG138</f>
        <v>0</v>
      </c>
      <c r="S202" s="12" t="n">
        <f aca="false">AH138</f>
        <v>0</v>
      </c>
      <c r="T202" s="12" t="n">
        <f aca="false">AI138</f>
        <v>0</v>
      </c>
      <c r="U202" s="12" t="n">
        <f aca="false">AJ138</f>
        <v>0</v>
      </c>
      <c r="V202" s="12" t="n">
        <f aca="false">AK138</f>
        <v>1</v>
      </c>
      <c r="W202" s="12" t="n">
        <f aca="false">AL138</f>
        <v>0</v>
      </c>
      <c r="X202" s="12" t="n">
        <f aca="false">AM138</f>
        <v>0</v>
      </c>
      <c r="Y202" s="12" t="n">
        <f aca="false">AN138</f>
        <v>0</v>
      </c>
    </row>
    <row r="203" customFormat="false" ht="15" hidden="false" customHeight="false" outlineLevel="0" collapsed="false">
      <c r="O203" s="1" t="s">
        <v>90</v>
      </c>
      <c r="R203" s="1" t="n">
        <f aca="false">AG139</f>
        <v>1</v>
      </c>
    </row>
    <row r="204" customFormat="false" ht="15" hidden="false" customHeight="false" outlineLevel="0" collapsed="false">
      <c r="Q204" s="5" t="s">
        <v>14</v>
      </c>
      <c r="R204" s="6" t="n">
        <v>0</v>
      </c>
      <c r="S204" s="6" t="n">
        <v>1</v>
      </c>
      <c r="T204" s="6" t="n">
        <v>0</v>
      </c>
      <c r="U204" s="6" t="n">
        <v>1</v>
      </c>
      <c r="V204" s="6" t="n">
        <v>0</v>
      </c>
      <c r="W204" s="6" t="n">
        <v>1</v>
      </c>
      <c r="X204" s="6" t="n">
        <v>0</v>
      </c>
      <c r="Y204" s="6" t="n">
        <v>1</v>
      </c>
    </row>
    <row r="205" customFormat="false" ht="15" hidden="false" customHeight="false" outlineLevel="0" collapsed="false">
      <c r="Q205" s="5" t="s">
        <v>15</v>
      </c>
      <c r="R205" s="6" t="n">
        <v>0</v>
      </c>
      <c r="S205" s="6" t="n">
        <v>0</v>
      </c>
      <c r="T205" s="6" t="n">
        <v>1</v>
      </c>
      <c r="U205" s="6" t="n">
        <v>1</v>
      </c>
      <c r="V205" s="6" t="n">
        <v>0</v>
      </c>
      <c r="W205" s="6" t="n">
        <v>0</v>
      </c>
      <c r="X205" s="6" t="n">
        <v>1</v>
      </c>
      <c r="Y205" s="6" t="n">
        <v>1</v>
      </c>
    </row>
    <row r="206" customFormat="false" ht="15" hidden="false" customHeight="false" outlineLevel="0" collapsed="false">
      <c r="N206" s="34" t="s">
        <v>14</v>
      </c>
      <c r="O206" s="34" t="s">
        <v>15</v>
      </c>
      <c r="P206" s="34" t="s">
        <v>16</v>
      </c>
      <c r="Q206" s="5" t="s">
        <v>16</v>
      </c>
      <c r="R206" s="6" t="n">
        <v>0</v>
      </c>
      <c r="S206" s="6" t="n">
        <v>0</v>
      </c>
      <c r="T206" s="6" t="n">
        <v>0</v>
      </c>
      <c r="U206" s="6" t="n">
        <v>0</v>
      </c>
      <c r="V206" s="6" t="n">
        <v>1</v>
      </c>
      <c r="W206" s="6" t="n">
        <v>1</v>
      </c>
      <c r="X206" s="6" t="n">
        <v>1</v>
      </c>
      <c r="Y206" s="6" t="n">
        <v>1</v>
      </c>
    </row>
    <row r="207" customFormat="false" ht="15" hidden="false" customHeight="false" outlineLevel="0" collapsed="false">
      <c r="N207" s="35" t="n">
        <v>1</v>
      </c>
      <c r="O207" s="35" t="n">
        <v>0</v>
      </c>
      <c r="P207" s="35" t="n">
        <v>0</v>
      </c>
      <c r="R207" s="4" t="n">
        <f aca="false">AX54</f>
        <v>0</v>
      </c>
      <c r="S207" s="4" t="n">
        <f aca="false">AY54</f>
        <v>0</v>
      </c>
      <c r="T207" s="4" t="n">
        <f aca="false">AZ54</f>
        <v>0</v>
      </c>
      <c r="U207" s="4" t="n">
        <f aca="false">BA54</f>
        <v>0</v>
      </c>
      <c r="V207" s="4" t="n">
        <f aca="false">BB54</f>
        <v>0.75</v>
      </c>
      <c r="W207" s="4" t="n">
        <f aca="false">BC54</f>
        <v>0</v>
      </c>
      <c r="X207" s="4" t="n">
        <f aca="false">BD54</f>
        <v>0.25</v>
      </c>
      <c r="Y207" s="4" t="n">
        <f aca="false">BE54</f>
        <v>0</v>
      </c>
    </row>
    <row r="208" customFormat="false" ht="15" hidden="false" customHeight="false" outlineLevel="0" collapsed="false">
      <c r="R208" s="12" t="n">
        <f aca="false">AX55</f>
        <v>0</v>
      </c>
      <c r="S208" s="12" t="n">
        <f aca="false">AY55</f>
        <v>0</v>
      </c>
      <c r="T208" s="12" t="n">
        <f aca="false">AZ55</f>
        <v>0</v>
      </c>
      <c r="U208" s="12" t="n">
        <f aca="false">BA55</f>
        <v>0</v>
      </c>
      <c r="V208" s="12" t="n">
        <f aca="false">BB55</f>
        <v>1</v>
      </c>
      <c r="W208" s="12" t="n">
        <f aca="false">BC55</f>
        <v>0</v>
      </c>
      <c r="X208" s="12" t="n">
        <f aca="false">BD55</f>
        <v>0</v>
      </c>
      <c r="Y208" s="12" t="n">
        <f aca="false">BE55</f>
        <v>0</v>
      </c>
    </row>
    <row r="209" customFormat="false" ht="15" hidden="false" customHeight="false" outlineLevel="0" collapsed="false">
      <c r="P209" s="1" t="str">
        <f aca="false">AW56</f>
        <v>EMD(S,RE2)= </v>
      </c>
      <c r="R209" s="1" t="n">
        <f aca="false">AX56</f>
        <v>0.25</v>
      </c>
    </row>
    <row r="212" customFormat="false" ht="15" hidden="false" customHeight="false" outlineLevel="0" collapsed="false">
      <c r="A212" s="13"/>
    </row>
    <row r="215" customFormat="false" ht="15" hidden="false" customHeight="false" outlineLevel="0" collapsed="false">
      <c r="Q215" s="5" t="s">
        <v>14</v>
      </c>
      <c r="R215" s="6" t="n">
        <v>0</v>
      </c>
      <c r="S215" s="6" t="n">
        <v>1</v>
      </c>
      <c r="T215" s="6" t="n">
        <v>0</v>
      </c>
      <c r="U215" s="6" t="n">
        <v>1</v>
      </c>
      <c r="V215" s="6" t="n">
        <v>0</v>
      </c>
      <c r="W215" s="6" t="n">
        <v>1</v>
      </c>
      <c r="X215" s="6" t="n">
        <v>0</v>
      </c>
      <c r="Y215" s="6" t="n">
        <v>1</v>
      </c>
    </row>
    <row r="216" customFormat="false" ht="15" hidden="false" customHeight="false" outlineLevel="0" collapsed="false">
      <c r="Q216" s="5" t="s">
        <v>15</v>
      </c>
      <c r="R216" s="6" t="n">
        <v>0</v>
      </c>
      <c r="S216" s="6" t="n">
        <v>0</v>
      </c>
      <c r="T216" s="6" t="n">
        <v>1</v>
      </c>
      <c r="U216" s="6" t="n">
        <v>1</v>
      </c>
      <c r="V216" s="6" t="n">
        <v>0</v>
      </c>
      <c r="W216" s="6" t="n">
        <v>0</v>
      </c>
      <c r="X216" s="6" t="n">
        <v>1</v>
      </c>
      <c r="Y216" s="6" t="n">
        <v>1</v>
      </c>
    </row>
    <row r="217" customFormat="false" ht="15" hidden="false" customHeight="false" outlineLevel="0" collapsed="false">
      <c r="N217" s="34" t="s">
        <v>14</v>
      </c>
      <c r="O217" s="34" t="s">
        <v>15</v>
      </c>
      <c r="P217" s="34" t="s">
        <v>16</v>
      </c>
      <c r="Q217" s="5" t="s">
        <v>16</v>
      </c>
      <c r="R217" s="6" t="n">
        <v>0</v>
      </c>
      <c r="S217" s="6" t="n">
        <v>0</v>
      </c>
      <c r="T217" s="6" t="n">
        <v>0</v>
      </c>
      <c r="U217" s="6" t="n">
        <v>0</v>
      </c>
      <c r="V217" s="6" t="n">
        <v>1</v>
      </c>
      <c r="W217" s="6" t="n">
        <v>1</v>
      </c>
      <c r="X217" s="6" t="n">
        <v>1</v>
      </c>
      <c r="Y217" s="6" t="n">
        <v>1</v>
      </c>
    </row>
    <row r="218" customFormat="false" ht="15" hidden="false" customHeight="false" outlineLevel="0" collapsed="false">
      <c r="N218" s="35" t="n">
        <v>1</v>
      </c>
      <c r="O218" s="35" t="n">
        <v>0</v>
      </c>
      <c r="P218" s="35" t="n">
        <v>0</v>
      </c>
      <c r="R218" s="11" t="n">
        <f aca="false">AG115</f>
        <v>0</v>
      </c>
      <c r="S218" s="11" t="n">
        <f aca="false">AH115</f>
        <v>0</v>
      </c>
      <c r="T218" s="11" t="n">
        <f aca="false">AI115</f>
        <v>0</v>
      </c>
      <c r="U218" s="84" t="n">
        <f aca="false">AJ115</f>
        <v>0</v>
      </c>
      <c r="V218" s="11" t="n">
        <f aca="false">AK115</f>
        <v>0.1875</v>
      </c>
      <c r="W218" s="11" t="n">
        <f aca="false">AL115</f>
        <v>0.0625</v>
      </c>
      <c r="X218" s="11" t="n">
        <f aca="false">AM115</f>
        <v>0.5625</v>
      </c>
      <c r="Y218" s="11" t="n">
        <f aca="false">AN115</f>
        <v>0.1875</v>
      </c>
    </row>
    <row r="219" customFormat="false" ht="15" hidden="false" customHeight="false" outlineLevel="0" collapsed="false">
      <c r="R219" s="12" t="n">
        <f aca="false">AG116</f>
        <v>0</v>
      </c>
      <c r="S219" s="12" t="n">
        <f aca="false">AH116</f>
        <v>0</v>
      </c>
      <c r="T219" s="12" t="n">
        <f aca="false">AI116</f>
        <v>0</v>
      </c>
      <c r="U219" s="12" t="n">
        <f aca="false">AJ116</f>
        <v>0</v>
      </c>
      <c r="V219" s="12" t="n">
        <f aca="false">AK116</f>
        <v>1</v>
      </c>
      <c r="W219" s="12" t="n">
        <f aca="false">AL116</f>
        <v>0</v>
      </c>
      <c r="X219" s="12" t="n">
        <f aca="false">AM116</f>
        <v>0</v>
      </c>
      <c r="Y219" s="12" t="n">
        <f aca="false">AN116</f>
        <v>0</v>
      </c>
    </row>
    <row r="220" customFormat="false" ht="15" hidden="false" customHeight="false" outlineLevel="0" collapsed="false">
      <c r="O220" s="1" t="s">
        <v>90</v>
      </c>
      <c r="R220" s="1" t="n">
        <f aca="false">AG117</f>
        <v>1</v>
      </c>
    </row>
    <row r="221" customFormat="false" ht="15" hidden="false" customHeight="false" outlineLevel="0" collapsed="false">
      <c r="Q221" s="5" t="s">
        <v>14</v>
      </c>
      <c r="R221" s="6" t="n">
        <v>0</v>
      </c>
      <c r="S221" s="6" t="n">
        <v>1</v>
      </c>
      <c r="T221" s="6" t="n">
        <v>0</v>
      </c>
      <c r="U221" s="6" t="n">
        <v>1</v>
      </c>
      <c r="V221" s="6" t="n">
        <v>0</v>
      </c>
      <c r="W221" s="6" t="n">
        <v>1</v>
      </c>
      <c r="X221" s="6" t="n">
        <v>0</v>
      </c>
      <c r="Y221" s="6" t="n">
        <v>1</v>
      </c>
    </row>
    <row r="222" customFormat="false" ht="15" hidden="false" customHeight="false" outlineLevel="0" collapsed="false">
      <c r="Q222" s="5" t="s">
        <v>15</v>
      </c>
      <c r="R222" s="6" t="n">
        <v>0</v>
      </c>
      <c r="S222" s="6" t="n">
        <v>0</v>
      </c>
      <c r="T222" s="6" t="n">
        <v>1</v>
      </c>
      <c r="U222" s="6" t="n">
        <v>1</v>
      </c>
      <c r="V222" s="6" t="n">
        <v>0</v>
      </c>
      <c r="W222" s="6" t="n">
        <v>0</v>
      </c>
      <c r="X222" s="6" t="n">
        <v>1</v>
      </c>
      <c r="Y222" s="6" t="n">
        <v>1</v>
      </c>
    </row>
    <row r="223" customFormat="false" ht="15" hidden="false" customHeight="false" outlineLevel="0" collapsed="false">
      <c r="N223" s="34" t="s">
        <v>14</v>
      </c>
      <c r="O223" s="34" t="s">
        <v>15</v>
      </c>
      <c r="P223" s="34" t="s">
        <v>16</v>
      </c>
      <c r="Q223" s="5" t="s">
        <v>16</v>
      </c>
      <c r="R223" s="6" t="n">
        <v>0</v>
      </c>
      <c r="S223" s="6" t="n">
        <v>0</v>
      </c>
      <c r="T223" s="6" t="n">
        <v>0</v>
      </c>
      <c r="U223" s="6" t="n">
        <v>0</v>
      </c>
      <c r="V223" s="6" t="n">
        <v>1</v>
      </c>
      <c r="W223" s="6" t="n">
        <v>1</v>
      </c>
      <c r="X223" s="6" t="n">
        <v>1</v>
      </c>
      <c r="Y223" s="6" t="n">
        <v>1</v>
      </c>
    </row>
    <row r="224" customFormat="false" ht="15" hidden="false" customHeight="false" outlineLevel="0" collapsed="false">
      <c r="N224" s="1" t="n">
        <f aca="false">BH94</f>
        <v>1</v>
      </c>
      <c r="O224" s="1" t="n">
        <f aca="false">BI94</f>
        <v>0</v>
      </c>
      <c r="P224" s="1" t="n">
        <f aca="false">BJ94</f>
        <v>0</v>
      </c>
      <c r="R224" s="11" t="n">
        <f aca="false">BL94</f>
        <v>0</v>
      </c>
      <c r="S224" s="11" t="n">
        <f aca="false">BM94</f>
        <v>0</v>
      </c>
      <c r="T224" s="11" t="n">
        <f aca="false">BN94</f>
        <v>0</v>
      </c>
      <c r="U224" s="11" t="n">
        <f aca="false">BO94</f>
        <v>0</v>
      </c>
      <c r="V224" s="84" t="n">
        <f aca="false">BP94</f>
        <v>0.5</v>
      </c>
      <c r="W224" s="11" t="n">
        <f aca="false">BQ94</f>
        <v>0.5</v>
      </c>
      <c r="X224" s="84" t="n">
        <f aca="false">BR94</f>
        <v>0</v>
      </c>
      <c r="Y224" s="11" t="n">
        <f aca="false">BS94</f>
        <v>0</v>
      </c>
    </row>
    <row r="225" customFormat="false" ht="15" hidden="false" customHeight="false" outlineLevel="0" collapsed="false">
      <c r="R225" s="12" t="n">
        <f aca="false">BL95</f>
        <v>0</v>
      </c>
      <c r="S225" s="12" t="n">
        <f aca="false">BM95</f>
        <v>0</v>
      </c>
      <c r="T225" s="12" t="n">
        <f aca="false">BN95</f>
        <v>0</v>
      </c>
      <c r="U225" s="12" t="n">
        <f aca="false">BO95</f>
        <v>0</v>
      </c>
      <c r="V225" s="12" t="n">
        <f aca="false">BP95</f>
        <v>1</v>
      </c>
      <c r="W225" s="12" t="n">
        <f aca="false">BQ95</f>
        <v>0</v>
      </c>
      <c r="X225" s="12" t="n">
        <f aca="false">BR95</f>
        <v>0</v>
      </c>
      <c r="Y225" s="12" t="n">
        <f aca="false">BS95</f>
        <v>0</v>
      </c>
    </row>
    <row r="226" customFormat="false" ht="15" hidden="false" customHeight="false" outlineLevel="0" collapsed="false">
      <c r="P226" s="1" t="str">
        <f aca="false">BJ96</f>
        <v>EMD(S,RE1)= </v>
      </c>
      <c r="R226" s="1" t="n">
        <f aca="false">BL96</f>
        <v>0.5</v>
      </c>
    </row>
    <row r="235" customFormat="false" ht="15" hidden="false" customHeight="false" outlineLevel="0" collapsed="false">
      <c r="D235" s="1"/>
      <c r="E235" s="1"/>
      <c r="F235" s="1"/>
      <c r="G235" s="1"/>
    </row>
    <row r="236" customFormat="false" ht="15" hidden="false" customHeight="false" outlineLevel="0" collapsed="false">
      <c r="D236" s="143"/>
      <c r="E236" s="1"/>
      <c r="F236" s="1"/>
      <c r="G236" s="1"/>
    </row>
    <row r="237" customFormat="false" ht="15" hidden="false" customHeight="false" outlineLevel="0" collapsed="false">
      <c r="D237" s="143"/>
      <c r="E237" s="1"/>
      <c r="F237" s="1"/>
      <c r="G237" s="1"/>
    </row>
    <row r="238" customFormat="false" ht="15" hidden="false" customHeight="false" outlineLevel="0" collapsed="false">
      <c r="B238" s="143"/>
      <c r="C238" s="143"/>
      <c r="D238" s="1"/>
      <c r="E238" s="1"/>
      <c r="F238" s="1"/>
      <c r="G238" s="1"/>
    </row>
    <row r="239" customFormat="false" ht="15" hidden="false" customHeight="false" outlineLevel="0" collapsed="false">
      <c r="D239" s="1"/>
      <c r="E239" s="1"/>
      <c r="F239" s="1"/>
      <c r="G239" s="1"/>
    </row>
    <row r="240" customFormat="false" ht="15" hidden="false" customHeight="false" outlineLevel="0" collapsed="false">
      <c r="D240" s="1"/>
      <c r="E240" s="1"/>
      <c r="F240" s="1"/>
      <c r="G240" s="1"/>
    </row>
    <row r="258" customFormat="false" ht="15" hidden="false" customHeight="false" outlineLevel="0" collapsed="false">
      <c r="B258" s="144"/>
    </row>
    <row r="259" customFormat="false" ht="15" hidden="false" customHeight="false" outlineLevel="0" collapsed="false">
      <c r="B259" s="144"/>
    </row>
    <row r="260" customFormat="false" ht="15" hidden="false" customHeight="false" outlineLevel="0" collapsed="false">
      <c r="B260" s="144"/>
      <c r="N260" s="111" t="s">
        <v>231</v>
      </c>
      <c r="O260" s="111"/>
      <c r="P260" s="111"/>
      <c r="Q260" s="111"/>
      <c r="R260" s="111"/>
      <c r="S260" s="111"/>
      <c r="T260" s="111"/>
      <c r="U260" s="111"/>
    </row>
    <row r="264" customFormat="false" ht="15" hidden="false" customHeight="false" outlineLevel="0" collapsed="false">
      <c r="V264" s="124" t="s">
        <v>232</v>
      </c>
      <c r="W264" s="69"/>
      <c r="X264" s="69"/>
      <c r="Y264" s="69"/>
      <c r="Z264" s="69"/>
      <c r="AA264" s="69"/>
      <c r="AB264" s="69"/>
      <c r="AC264" s="69"/>
      <c r="AD264" s="69"/>
      <c r="AE264" s="69"/>
      <c r="AF264" s="145"/>
    </row>
    <row r="265" customFormat="false" ht="15" hidden="false" customHeight="false" outlineLevel="0" collapsed="false">
      <c r="V265" s="146" t="s">
        <v>233</v>
      </c>
      <c r="AF265" s="136"/>
    </row>
    <row r="266" customFormat="false" ht="15" hidden="false" customHeight="false" outlineLevel="0" collapsed="false">
      <c r="V266" s="146" t="s">
        <v>234</v>
      </c>
      <c r="AF266" s="136"/>
    </row>
    <row r="267" customFormat="false" ht="15" hidden="false" customHeight="false" outlineLevel="0" collapsed="false">
      <c r="V267" s="146" t="s">
        <v>235</v>
      </c>
      <c r="AF267" s="136"/>
    </row>
    <row r="268" customFormat="false" ht="15" hidden="false" customHeight="false" outlineLevel="0" collapsed="false">
      <c r="V268" s="146" t="s">
        <v>236</v>
      </c>
      <c r="AF268" s="136"/>
    </row>
    <row r="269" customFormat="false" ht="15" hidden="false" customHeight="false" outlineLevel="0" collapsed="false">
      <c r="V269" s="147" t="s">
        <v>237</v>
      </c>
      <c r="W269" s="148"/>
      <c r="X269" s="148"/>
      <c r="Y269" s="148"/>
      <c r="Z269" s="148"/>
      <c r="AA269" s="148"/>
      <c r="AB269" s="148"/>
      <c r="AC269" s="148"/>
      <c r="AD269" s="148"/>
      <c r="AE269" s="148"/>
      <c r="AF269" s="139"/>
    </row>
    <row r="271" customFormat="false" ht="15" hidden="false" customHeight="false" outlineLevel="0" collapsed="false">
      <c r="V271" s="149" t="s">
        <v>238</v>
      </c>
    </row>
    <row r="272" customFormat="false" ht="15" hidden="false" customHeight="false" outlineLevel="0" collapsed="false">
      <c r="V272" s="149" t="s">
        <v>239</v>
      </c>
    </row>
    <row r="273" customFormat="false" ht="15" hidden="false" customHeight="false" outlineLevel="0" collapsed="false">
      <c r="A273" s="1" t="s">
        <v>240</v>
      </c>
      <c r="B273" s="1" t="s">
        <v>241</v>
      </c>
      <c r="C273" s="1" t="s">
        <v>242</v>
      </c>
    </row>
    <row r="274" customFormat="false" ht="15" hidden="false" customHeight="false" outlineLevel="0" collapsed="false">
      <c r="A274" s="1" t="s">
        <v>243</v>
      </c>
      <c r="B274" s="1" t="s">
        <v>241</v>
      </c>
      <c r="C274" s="1" t="s">
        <v>244</v>
      </c>
    </row>
    <row r="275" customFormat="false" ht="15" hidden="false" customHeight="false" outlineLevel="0" collapsed="false">
      <c r="A275" s="1" t="s">
        <v>245</v>
      </c>
      <c r="B275" s="1" t="s">
        <v>246</v>
      </c>
      <c r="C275" s="1" t="s">
        <v>247</v>
      </c>
    </row>
    <row r="276" customFormat="false" ht="15" hidden="false" customHeight="false" outlineLevel="0" collapsed="false">
      <c r="A276" s="1" t="s">
        <v>248</v>
      </c>
      <c r="B276" s="1" t="s">
        <v>249</v>
      </c>
      <c r="C276" s="1" t="s">
        <v>250</v>
      </c>
    </row>
    <row r="277" customFormat="false" ht="20.85" hidden="false" customHeight="false" outlineLevel="0" collapsed="false">
      <c r="B277" s="1" t="s">
        <v>249</v>
      </c>
      <c r="C277" s="1" t="s">
        <v>251</v>
      </c>
    </row>
    <row r="278" customFormat="false" ht="15" hidden="false" customHeight="false" outlineLevel="0" collapsed="false">
      <c r="A278" s="1" t="s">
        <v>252</v>
      </c>
      <c r="B278" s="1" t="s">
        <v>249</v>
      </c>
      <c r="C278" s="1" t="s">
        <v>253</v>
      </c>
    </row>
    <row r="279" customFormat="false" ht="15" hidden="false" customHeight="false" outlineLevel="0" collapsed="false">
      <c r="A279" s="1" t="s">
        <v>245</v>
      </c>
      <c r="B279" s="1" t="s">
        <v>249</v>
      </c>
      <c r="C279" s="1" t="s">
        <v>254</v>
      </c>
    </row>
    <row r="280" customFormat="false" ht="15" hidden="false" customHeight="false" outlineLevel="0" collapsed="false">
      <c r="A280" s="1" t="s">
        <v>255</v>
      </c>
      <c r="B280" s="1" t="s">
        <v>249</v>
      </c>
      <c r="C280" s="4" t="s">
        <v>256</v>
      </c>
    </row>
    <row r="281" customFormat="false" ht="15" hidden="false" customHeight="false" outlineLevel="0" collapsed="false">
      <c r="B281" s="1" t="s">
        <v>257</v>
      </c>
      <c r="C281" s="4" t="s">
        <v>258</v>
      </c>
    </row>
    <row r="283" customFormat="false" ht="16.4" hidden="false" customHeight="false" outlineLevel="0" collapsed="false">
      <c r="B283" s="1" t="s">
        <v>259</v>
      </c>
    </row>
    <row r="284" customFormat="false" ht="20.25" hidden="false" customHeight="true" outlineLevel="0" collapsed="false">
      <c r="B284" s="1" t="s">
        <v>260</v>
      </c>
    </row>
    <row r="285" customFormat="false" ht="64.5" hidden="false" customHeight="true" outlineLevel="0" collapsed="false">
      <c r="B285" s="1" t="s">
        <v>261</v>
      </c>
      <c r="M285" s="150" t="s">
        <v>262</v>
      </c>
      <c r="Q285" s="4" t="s">
        <v>263</v>
      </c>
    </row>
    <row r="286" customFormat="false" ht="16.4" hidden="false" customHeight="false" outlineLevel="0" collapsed="false">
      <c r="B286" s="4" t="s">
        <v>264</v>
      </c>
      <c r="Q286" s="4" t="s">
        <v>265</v>
      </c>
    </row>
    <row r="287" customFormat="false" ht="15" hidden="false" customHeight="false" outlineLevel="0" collapsed="false">
      <c r="B287" s="4" t="s">
        <v>266</v>
      </c>
    </row>
    <row r="288" customFormat="false" ht="16.4" hidden="false" customHeight="false" outlineLevel="0" collapsed="false">
      <c r="B288" s="4" t="s">
        <v>267</v>
      </c>
    </row>
    <row r="289" customFormat="false" ht="16.4" hidden="false" customHeight="false" outlineLevel="0" collapsed="false">
      <c r="B289" s="4" t="s">
        <v>268</v>
      </c>
    </row>
    <row r="291" customFormat="false" ht="15" hidden="false" customHeight="false" outlineLevel="0" collapsed="false">
      <c r="Q291" s="35" t="s">
        <v>269</v>
      </c>
      <c r="R291" s="4" t="s">
        <v>270</v>
      </c>
    </row>
  </sheetData>
  <mergeCells count="2">
    <mergeCell ref="Q2:Q4"/>
    <mergeCell ref="AI163:AI16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107"/>
  <sheetViews>
    <sheetView showFormulas="false" showGridLines="true" showRowColHeaders="true" showZeros="true" rightToLeft="false" tabSelected="true" showOutlineSymbols="true" defaultGridColor="true" view="normal" topLeftCell="A1" colorId="64" zoomScale="60" zoomScaleNormal="60" zoomScalePageLayoutView="100" workbookViewId="0">
      <selection pane="topLeft" activeCell="AV24" activeCellId="0" sqref="AV24"/>
    </sheetView>
  </sheetViews>
  <sheetFormatPr defaultColWidth="11.00390625" defaultRowHeight="15" zeroHeight="false" outlineLevelRow="0" outlineLevelCol="0"/>
  <cols>
    <col collapsed="false" customWidth="true" hidden="false" outlineLevel="0" max="2" min="2" style="1" width="107.06"/>
    <col collapsed="false" customWidth="true" hidden="false" outlineLevel="0" max="5" min="5" style="0" width="21.94"/>
    <col collapsed="false" customWidth="true" hidden="false" outlineLevel="0" max="8" min="8" style="1" width="9.22"/>
    <col collapsed="false" customWidth="true" hidden="false" outlineLevel="0" max="10" min="10" style="1" width="20.89"/>
    <col collapsed="false" customWidth="true" hidden="false" outlineLevel="0" max="11" min="11" style="1" width="10"/>
    <col collapsed="false" customWidth="true" hidden="false" outlineLevel="0" max="15" min="15" style="1" width="4.67"/>
    <col collapsed="false" customWidth="true" hidden="false" outlineLevel="0" max="17" min="16" style="1" width="4.78"/>
    <col collapsed="false" customWidth="true" hidden="false" outlineLevel="0" max="18" min="18" style="1" width="5.66"/>
    <col collapsed="false" customWidth="true" hidden="false" outlineLevel="0" max="19" min="19" style="1" width="5.1"/>
    <col collapsed="false" customWidth="true" hidden="false" outlineLevel="0" max="20" min="20" style="1" width="5.22"/>
    <col collapsed="false" customWidth="true" hidden="false" outlineLevel="0" max="22" min="21" style="1" width="5.44"/>
    <col collapsed="false" customWidth="true" hidden="false" outlineLevel="0" max="23" min="23" style="1" width="4.89"/>
    <col collapsed="false" customWidth="true" hidden="false" outlineLevel="0" max="24" min="24" style="1" width="4.78"/>
    <col collapsed="false" customWidth="true" hidden="false" outlineLevel="0" max="25" min="25" style="1" width="5.33"/>
    <col collapsed="false" customWidth="true" hidden="false" outlineLevel="0" max="27" min="26" style="1" width="4.89"/>
    <col collapsed="false" customWidth="true" hidden="false" outlineLevel="0" max="28" min="28" style="1" width="4.44"/>
    <col collapsed="false" customWidth="true" hidden="false" outlineLevel="0" max="29" min="29" style="1" width="4.78"/>
    <col collapsed="false" customWidth="true" hidden="false" outlineLevel="0" max="30" min="30" style="1" width="5.1"/>
    <col collapsed="false" customWidth="true" hidden="false" outlineLevel="0" max="32" min="31" style="1" width="4.55"/>
    <col collapsed="false" customWidth="true" hidden="false" outlineLevel="0" max="33" min="33" style="1" width="5.44"/>
    <col collapsed="false" customWidth="true" hidden="false" outlineLevel="0" max="34" min="34" style="1" width="5.89"/>
    <col collapsed="false" customWidth="true" hidden="false" outlineLevel="0" max="35" min="35" style="1" width="5"/>
    <col collapsed="false" customWidth="true" hidden="false" outlineLevel="0" max="41" min="41" style="1" width="4.33"/>
    <col collapsed="false" customWidth="true" hidden="false" outlineLevel="0" max="42" min="42" style="1" width="4.67"/>
    <col collapsed="false" customWidth="true" hidden="false" outlineLevel="0" max="43" min="43" style="1" width="6.1"/>
    <col collapsed="false" customWidth="true" hidden="false" outlineLevel="0" max="44" min="44" style="1" width="5.33"/>
    <col collapsed="false" customWidth="true" hidden="false" outlineLevel="0" max="45" min="45" style="1" width="5.1"/>
    <col collapsed="false" customWidth="true" hidden="false" outlineLevel="0" max="46" min="46" style="1" width="4.89"/>
    <col collapsed="false" customWidth="true" hidden="false" outlineLevel="0" max="47" min="47" style="1" width="6.1"/>
    <col collapsed="false" customWidth="true" hidden="false" outlineLevel="0" max="48" min="48" style="1" width="6.34"/>
    <col collapsed="false" customWidth="true" hidden="false" outlineLevel="0" max="49" min="49" style="1" width="23.1"/>
    <col collapsed="false" customWidth="true" hidden="false" outlineLevel="0" max="50" min="50" style="1" width="5.66"/>
    <col collapsed="false" customWidth="true" hidden="false" outlineLevel="0" max="51" min="51" style="1" width="5.89"/>
    <col collapsed="false" customWidth="true" hidden="false" outlineLevel="0" max="52" min="52" style="1" width="9.89"/>
    <col collapsed="false" customWidth="true" hidden="false" outlineLevel="0" max="53" min="53" style="1" width="5"/>
    <col collapsed="false" customWidth="true" hidden="false" outlineLevel="0" max="54" min="54" style="1" width="8.22"/>
    <col collapsed="false" customWidth="true" hidden="false" outlineLevel="0" max="55" min="55" style="1" width="7.1"/>
    <col collapsed="false" customWidth="true" hidden="false" outlineLevel="0" max="57" min="57" style="1" width="5.22"/>
    <col collapsed="false" customWidth="true" hidden="false" outlineLevel="0" max="58" min="58" style="1" width="5.44"/>
    <col collapsed="false" customWidth="true" hidden="false" outlineLevel="0" max="59" min="59" style="1" width="6"/>
    <col collapsed="false" customWidth="true" hidden="false" outlineLevel="0" max="60" min="60" style="1" width="5.66"/>
    <col collapsed="false" customWidth="true" hidden="false" outlineLevel="0" max="61" min="61" style="1" width="5.78"/>
    <col collapsed="false" customWidth="true" hidden="false" outlineLevel="0" max="62" min="62" style="1" width="6.1"/>
  </cols>
  <sheetData>
    <row r="1" customFormat="false" ht="45.5" hidden="false" customHeight="true" outlineLevel="0" collapsed="false">
      <c r="AM1" s="8" t="s">
        <v>18</v>
      </c>
      <c r="AN1" s="5" t="s">
        <v>14</v>
      </c>
      <c r="AO1" s="6" t="n">
        <v>0</v>
      </c>
      <c r="AP1" s="6" t="n">
        <v>1</v>
      </c>
      <c r="AQ1" s="6" t="n">
        <v>0</v>
      </c>
      <c r="AR1" s="6" t="n">
        <v>1</v>
      </c>
      <c r="AS1" s="6" t="n">
        <v>0</v>
      </c>
      <c r="AT1" s="6" t="n">
        <v>1</v>
      </c>
      <c r="AU1" s="6" t="n">
        <v>0</v>
      </c>
      <c r="AV1" s="6" t="n">
        <v>1</v>
      </c>
      <c r="BA1" s="5" t="s">
        <v>14</v>
      </c>
      <c r="BB1" s="6" t="n">
        <v>0</v>
      </c>
      <c r="BC1" s="6" t="n">
        <v>1</v>
      </c>
      <c r="BE1" s="4" t="s">
        <v>271</v>
      </c>
      <c r="BG1" s="128" t="s">
        <v>227</v>
      </c>
      <c r="BH1" s="5" t="s">
        <v>16</v>
      </c>
      <c r="BI1" s="6" t="n">
        <v>0</v>
      </c>
      <c r="BJ1" s="6" t="n">
        <v>1</v>
      </c>
    </row>
    <row r="2" customFormat="false" ht="19.7" hidden="false" customHeight="false" outlineLevel="0" collapsed="false">
      <c r="D2" s="113" t="s">
        <v>272</v>
      </c>
      <c r="AM2" s="8"/>
      <c r="AN2" s="5" t="s">
        <v>15</v>
      </c>
      <c r="AO2" s="6" t="n">
        <v>0</v>
      </c>
      <c r="AP2" s="6" t="n">
        <v>0</v>
      </c>
      <c r="AQ2" s="6" t="n">
        <v>1</v>
      </c>
      <c r="AR2" s="6" t="n">
        <v>1</v>
      </c>
      <c r="AS2" s="6" t="n">
        <v>0</v>
      </c>
      <c r="AT2" s="6" t="n">
        <v>0</v>
      </c>
      <c r="AU2" s="6" t="n">
        <v>1</v>
      </c>
      <c r="AV2" s="6" t="n">
        <v>1</v>
      </c>
      <c r="AX2" s="5" t="s">
        <v>14</v>
      </c>
      <c r="AY2" s="5" t="s">
        <v>15</v>
      </c>
      <c r="AZ2" s="5" t="s">
        <v>16</v>
      </c>
      <c r="BE2" s="5" t="s">
        <v>14</v>
      </c>
      <c r="BF2" s="5" t="s">
        <v>15</v>
      </c>
      <c r="BG2" s="5" t="s">
        <v>16</v>
      </c>
    </row>
    <row r="3" customFormat="false" ht="15" hidden="false" customHeight="false" outlineLevel="0" collapsed="false">
      <c r="AK3" s="1" t="s">
        <v>19</v>
      </c>
      <c r="AM3" s="8"/>
      <c r="AN3" s="5" t="s">
        <v>16</v>
      </c>
      <c r="AO3" s="6" t="n">
        <v>0</v>
      </c>
      <c r="AP3" s="6" t="n">
        <v>0</v>
      </c>
      <c r="AQ3" s="6" t="n">
        <v>0</v>
      </c>
      <c r="AR3" s="6" t="n">
        <v>0</v>
      </c>
      <c r="AS3" s="6" t="n">
        <v>1</v>
      </c>
      <c r="AT3" s="6" t="n">
        <v>1</v>
      </c>
      <c r="AU3" s="6" t="n">
        <v>1</v>
      </c>
      <c r="AV3" s="6" t="n">
        <v>1</v>
      </c>
      <c r="AX3" s="10" t="n">
        <v>0</v>
      </c>
      <c r="AY3" s="10" t="n">
        <v>0</v>
      </c>
      <c r="AZ3" s="10" t="n">
        <v>0</v>
      </c>
      <c r="BB3" s="84" t="n">
        <v>1</v>
      </c>
      <c r="BC3" s="84" t="n">
        <v>0</v>
      </c>
      <c r="BE3" s="6" t="n">
        <v>0</v>
      </c>
      <c r="BF3" s="6" t="n">
        <v>0</v>
      </c>
      <c r="BG3" s="6" t="n">
        <v>0</v>
      </c>
      <c r="BI3" s="11" t="n">
        <v>1</v>
      </c>
      <c r="BJ3" s="11" t="n">
        <v>0</v>
      </c>
    </row>
    <row r="4" customFormat="false" ht="15" hidden="false" customHeight="false" outlineLevel="0" collapsed="false">
      <c r="D4" s="1" t="s">
        <v>273</v>
      </c>
      <c r="AK4" s="5" t="s">
        <v>14</v>
      </c>
      <c r="AL4" s="5" t="s">
        <v>15</v>
      </c>
      <c r="AM4" s="5" t="s">
        <v>16</v>
      </c>
      <c r="AX4" s="10" t="n">
        <v>1</v>
      </c>
      <c r="AY4" s="10" t="n">
        <v>0</v>
      </c>
      <c r="AZ4" s="10" t="n">
        <v>0</v>
      </c>
      <c r="BB4" s="84" t="n">
        <v>1</v>
      </c>
      <c r="BC4" s="84" t="n">
        <v>0</v>
      </c>
      <c r="BE4" s="6" t="n">
        <v>1</v>
      </c>
      <c r="BF4" s="6" t="n">
        <v>0</v>
      </c>
      <c r="BG4" s="6" t="n">
        <v>0</v>
      </c>
      <c r="BI4" s="11" t="n">
        <v>0</v>
      </c>
      <c r="BJ4" s="11" t="n">
        <v>1</v>
      </c>
    </row>
    <row r="5" customFormat="false" ht="15" hidden="false" customHeight="false" outlineLevel="0" collapsed="false">
      <c r="D5" s="1" t="s">
        <v>33</v>
      </c>
      <c r="AK5" s="6" t="n">
        <v>0</v>
      </c>
      <c r="AL5" s="6" t="n">
        <v>0</v>
      </c>
      <c r="AM5" s="6" t="n">
        <v>0</v>
      </c>
      <c r="AO5" s="11" t="n">
        <v>1</v>
      </c>
      <c r="AP5" s="11" t="n">
        <v>0</v>
      </c>
      <c r="AQ5" s="11" t="n">
        <v>0</v>
      </c>
      <c r="AR5" s="11" t="n">
        <v>0</v>
      </c>
      <c r="AS5" s="11" t="n">
        <v>0</v>
      </c>
      <c r="AT5" s="11" t="n">
        <v>0</v>
      </c>
      <c r="AU5" s="11" t="n">
        <v>0</v>
      </c>
      <c r="AV5" s="11" t="n">
        <v>0</v>
      </c>
      <c r="AW5" s="4" t="s">
        <v>274</v>
      </c>
      <c r="AX5" s="10" t="n">
        <v>0</v>
      </c>
      <c r="AY5" s="10" t="n">
        <v>1</v>
      </c>
      <c r="AZ5" s="10" t="n">
        <v>0</v>
      </c>
      <c r="BB5" s="84" t="n">
        <v>0</v>
      </c>
      <c r="BC5" s="84" t="n">
        <v>1</v>
      </c>
      <c r="BE5" s="6" t="n">
        <v>0</v>
      </c>
      <c r="BF5" s="6" t="n">
        <v>1</v>
      </c>
      <c r="BG5" s="6" t="n">
        <v>0</v>
      </c>
      <c r="BI5" s="11" t="n">
        <v>0</v>
      </c>
      <c r="BJ5" s="11" t="n">
        <v>1</v>
      </c>
    </row>
    <row r="6" customFormat="false" ht="15" hidden="false" customHeight="false" outlineLevel="0" collapsed="false">
      <c r="AK6" s="6" t="n">
        <v>1</v>
      </c>
      <c r="AL6" s="6" t="n">
        <v>0</v>
      </c>
      <c r="AM6" s="6" t="n">
        <v>0</v>
      </c>
      <c r="AO6" s="11" t="n">
        <v>0</v>
      </c>
      <c r="AP6" s="11" t="n">
        <v>0</v>
      </c>
      <c r="AQ6" s="11" t="n">
        <v>0</v>
      </c>
      <c r="AR6" s="11" t="n">
        <v>0</v>
      </c>
      <c r="AS6" s="11" t="n">
        <v>1</v>
      </c>
      <c r="AT6" s="11" t="n">
        <v>0</v>
      </c>
      <c r="AU6" s="11" t="n">
        <v>0</v>
      </c>
      <c r="AV6" s="11" t="n">
        <v>0</v>
      </c>
      <c r="AW6" s="4" t="s">
        <v>275</v>
      </c>
      <c r="AX6" s="10" t="n">
        <v>1</v>
      </c>
      <c r="AY6" s="10" t="n">
        <v>1</v>
      </c>
      <c r="AZ6" s="10" t="n">
        <v>0</v>
      </c>
      <c r="BB6" s="84" t="n">
        <v>0</v>
      </c>
      <c r="BC6" s="84" t="n">
        <v>1</v>
      </c>
      <c r="BE6" s="6" t="n">
        <v>1</v>
      </c>
      <c r="BF6" s="6" t="n">
        <v>1</v>
      </c>
      <c r="BG6" s="6" t="n">
        <v>0</v>
      </c>
      <c r="BI6" s="11" t="n">
        <v>1</v>
      </c>
      <c r="BJ6" s="11" t="n">
        <v>0</v>
      </c>
    </row>
    <row r="7" customFormat="false" ht="15" hidden="false" customHeight="false" outlineLevel="0" collapsed="false">
      <c r="D7" s="1" t="s">
        <v>276</v>
      </c>
      <c r="AK7" s="6" t="n">
        <v>0</v>
      </c>
      <c r="AL7" s="6" t="n">
        <v>1</v>
      </c>
      <c r="AM7" s="6" t="n">
        <v>0</v>
      </c>
      <c r="AO7" s="11" t="n">
        <v>0</v>
      </c>
      <c r="AP7" s="11" t="n">
        <v>0</v>
      </c>
      <c r="AQ7" s="11" t="n">
        <v>0</v>
      </c>
      <c r="AR7" s="11" t="n">
        <v>0</v>
      </c>
      <c r="AS7" s="11" t="n">
        <v>0</v>
      </c>
      <c r="AT7" s="11" t="n">
        <v>1</v>
      </c>
      <c r="AU7" s="11" t="n">
        <v>0</v>
      </c>
      <c r="AV7" s="11" t="n">
        <v>0</v>
      </c>
      <c r="AX7" s="10" t="n">
        <v>0</v>
      </c>
      <c r="AY7" s="10" t="n">
        <v>0</v>
      </c>
      <c r="AZ7" s="10" t="n">
        <v>1</v>
      </c>
      <c r="BB7" s="84" t="n">
        <v>0</v>
      </c>
      <c r="BC7" s="84" t="n">
        <v>1</v>
      </c>
      <c r="BE7" s="6" t="n">
        <v>0</v>
      </c>
      <c r="BF7" s="6" t="n">
        <v>0</v>
      </c>
      <c r="BG7" s="6" t="n">
        <v>1</v>
      </c>
      <c r="BI7" s="11" t="n">
        <v>1</v>
      </c>
      <c r="BJ7" s="11" t="n">
        <v>0</v>
      </c>
    </row>
    <row r="8" customFormat="false" ht="15" hidden="false" customHeight="false" outlineLevel="0" collapsed="false">
      <c r="D8" s="1" t="s">
        <v>277</v>
      </c>
      <c r="AK8" s="6" t="n">
        <v>1</v>
      </c>
      <c r="AL8" s="6" t="n">
        <v>1</v>
      </c>
      <c r="AM8" s="6" t="n">
        <v>0</v>
      </c>
      <c r="AO8" s="11" t="n">
        <v>0</v>
      </c>
      <c r="AP8" s="11" t="n">
        <v>1</v>
      </c>
      <c r="AQ8" s="11" t="n">
        <v>0</v>
      </c>
      <c r="AR8" s="11" t="n">
        <v>0</v>
      </c>
      <c r="AS8" s="11" t="n">
        <v>0</v>
      </c>
      <c r="AT8" s="11" t="n">
        <v>0</v>
      </c>
      <c r="AU8" s="11" t="n">
        <v>0</v>
      </c>
      <c r="AV8" s="11" t="n">
        <v>0</v>
      </c>
      <c r="AX8" s="10" t="n">
        <v>1</v>
      </c>
      <c r="AY8" s="10" t="n">
        <v>0</v>
      </c>
      <c r="AZ8" s="10" t="n">
        <v>1</v>
      </c>
      <c r="BB8" s="84" t="n">
        <v>0</v>
      </c>
      <c r="BC8" s="84" t="n">
        <v>1</v>
      </c>
      <c r="BE8" s="6" t="n">
        <v>1</v>
      </c>
      <c r="BF8" s="6" t="n">
        <v>0</v>
      </c>
      <c r="BG8" s="6" t="n">
        <v>1</v>
      </c>
      <c r="BI8" s="11" t="n">
        <v>0</v>
      </c>
      <c r="BJ8" s="11" t="n">
        <v>1</v>
      </c>
    </row>
    <row r="9" customFormat="false" ht="15" hidden="false" customHeight="false" outlineLevel="0" collapsed="false">
      <c r="D9" s="1" t="s">
        <v>278</v>
      </c>
      <c r="O9" s="1" t="s">
        <v>279</v>
      </c>
      <c r="T9" s="5" t="s">
        <v>14</v>
      </c>
      <c r="U9" s="6" t="n">
        <v>0</v>
      </c>
      <c r="V9" s="6" t="n">
        <v>1</v>
      </c>
      <c r="W9" s="6" t="n">
        <v>0</v>
      </c>
      <c r="X9" s="6" t="n">
        <v>1</v>
      </c>
      <c r="AE9" s="5" t="s">
        <v>14</v>
      </c>
      <c r="AF9" s="6" t="n">
        <v>0</v>
      </c>
      <c r="AG9" s="6" t="n">
        <v>1</v>
      </c>
      <c r="AH9" s="6" t="n">
        <v>0</v>
      </c>
      <c r="AI9" s="6" t="n">
        <v>1</v>
      </c>
      <c r="AK9" s="6" t="n">
        <v>0</v>
      </c>
      <c r="AL9" s="6" t="n">
        <v>0</v>
      </c>
      <c r="AM9" s="6" t="n">
        <v>1</v>
      </c>
      <c r="AO9" s="11" t="n">
        <v>0</v>
      </c>
      <c r="AP9" s="11" t="n">
        <v>1</v>
      </c>
      <c r="AQ9" s="11" t="n">
        <v>0</v>
      </c>
      <c r="AR9" s="11" t="n">
        <v>0</v>
      </c>
      <c r="AS9" s="11" t="n">
        <v>0</v>
      </c>
      <c r="AT9" s="11" t="n">
        <v>0</v>
      </c>
      <c r="AU9" s="11" t="n">
        <v>0</v>
      </c>
      <c r="AV9" s="11" t="n">
        <v>0</v>
      </c>
      <c r="AX9" s="10" t="n">
        <v>0</v>
      </c>
      <c r="AY9" s="10" t="n">
        <v>1</v>
      </c>
      <c r="AZ9" s="10" t="n">
        <v>1</v>
      </c>
      <c r="BB9" s="84" t="n">
        <v>0</v>
      </c>
      <c r="BC9" s="84" t="n">
        <v>1</v>
      </c>
      <c r="BE9" s="6" t="n">
        <v>0</v>
      </c>
      <c r="BF9" s="6" t="n">
        <v>1</v>
      </c>
      <c r="BG9" s="6" t="n">
        <v>1</v>
      </c>
      <c r="BI9" s="11" t="n">
        <v>0</v>
      </c>
      <c r="BJ9" s="11" t="n">
        <v>1</v>
      </c>
    </row>
    <row r="10" customFormat="false" ht="15" hidden="false" customHeight="false" outlineLevel="0" collapsed="false">
      <c r="T10" s="5" t="s">
        <v>16</v>
      </c>
      <c r="U10" s="6" t="n">
        <v>0</v>
      </c>
      <c r="V10" s="6" t="n">
        <v>0</v>
      </c>
      <c r="W10" s="6" t="n">
        <v>1</v>
      </c>
      <c r="X10" s="6" t="n">
        <v>1</v>
      </c>
      <c r="AE10" s="5" t="s">
        <v>16</v>
      </c>
      <c r="AF10" s="6" t="n">
        <v>0</v>
      </c>
      <c r="AG10" s="6" t="n">
        <v>0</v>
      </c>
      <c r="AH10" s="6" t="n">
        <v>1</v>
      </c>
      <c r="AI10" s="6" t="n">
        <v>1</v>
      </c>
      <c r="AK10" s="6" t="n">
        <v>1</v>
      </c>
      <c r="AL10" s="6" t="n">
        <v>0</v>
      </c>
      <c r="AM10" s="6" t="n">
        <v>1</v>
      </c>
      <c r="AO10" s="11" t="n">
        <v>0</v>
      </c>
      <c r="AP10" s="11" t="n">
        <v>0</v>
      </c>
      <c r="AQ10" s="11" t="n">
        <v>0</v>
      </c>
      <c r="AR10" s="11" t="n">
        <v>0</v>
      </c>
      <c r="AS10" s="11" t="n">
        <v>0</v>
      </c>
      <c r="AT10" s="11" t="n">
        <v>0</v>
      </c>
      <c r="AU10" s="11" t="n">
        <v>0</v>
      </c>
      <c r="AV10" s="11" t="n">
        <v>1</v>
      </c>
      <c r="AX10" s="10" t="n">
        <v>1</v>
      </c>
      <c r="AY10" s="10" t="n">
        <v>1</v>
      </c>
      <c r="AZ10" s="10" t="n">
        <v>1</v>
      </c>
      <c r="BB10" s="84" t="n">
        <v>0</v>
      </c>
      <c r="BC10" s="84" t="n">
        <v>1</v>
      </c>
      <c r="BE10" s="6" t="n">
        <v>1</v>
      </c>
      <c r="BF10" s="6" t="n">
        <v>1</v>
      </c>
      <c r="BG10" s="6" t="n">
        <v>1</v>
      </c>
      <c r="BI10" s="11" t="n">
        <v>1</v>
      </c>
      <c r="BJ10" s="11" t="n">
        <v>0</v>
      </c>
    </row>
    <row r="11" customFormat="false" ht="15" hidden="false" customHeight="false" outlineLevel="0" collapsed="false">
      <c r="A11" s="1" t="s">
        <v>36</v>
      </c>
      <c r="C11" s="1" t="s">
        <v>280</v>
      </c>
      <c r="E11" s="37" t="s">
        <v>38</v>
      </c>
      <c r="G11" s="4" t="s">
        <v>125</v>
      </c>
      <c r="H11" s="33" t="s">
        <v>154</v>
      </c>
      <c r="J11" s="37" t="s">
        <v>41</v>
      </c>
      <c r="K11" s="33" t="s">
        <v>155</v>
      </c>
      <c r="L11" s="32" t="s">
        <v>43</v>
      </c>
      <c r="O11" s="34" t="s">
        <v>14</v>
      </c>
      <c r="P11" s="34" t="s">
        <v>15</v>
      </c>
      <c r="S11" s="75" t="s">
        <v>16</v>
      </c>
      <c r="Z11" s="5" t="s">
        <v>15</v>
      </c>
      <c r="AC11" s="5" t="s">
        <v>14</v>
      </c>
      <c r="AD11" s="75" t="s">
        <v>16</v>
      </c>
      <c r="AK11" s="6" t="n">
        <v>0</v>
      </c>
      <c r="AL11" s="6" t="n">
        <v>1</v>
      </c>
      <c r="AM11" s="6" t="n">
        <v>1</v>
      </c>
      <c r="AO11" s="11" t="n">
        <v>0</v>
      </c>
      <c r="AP11" s="11" t="n">
        <v>0</v>
      </c>
      <c r="AQ11" s="11" t="n">
        <v>0</v>
      </c>
      <c r="AR11" s="11" t="n">
        <v>0</v>
      </c>
      <c r="AS11" s="11" t="n">
        <v>0</v>
      </c>
      <c r="AT11" s="11" t="n">
        <v>1</v>
      </c>
      <c r="AU11" s="11" t="n">
        <v>0</v>
      </c>
      <c r="AV11" s="11" t="n">
        <v>0</v>
      </c>
    </row>
    <row r="12" customFormat="false" ht="15" hidden="false" customHeight="false" outlineLevel="0" collapsed="false">
      <c r="B12" s="1" t="s">
        <v>45</v>
      </c>
      <c r="E12" s="1" t="s">
        <v>281</v>
      </c>
      <c r="G12" s="1" t="s">
        <v>282</v>
      </c>
      <c r="H12" s="11" t="n">
        <f aca="false">$T$19</f>
        <v>1</v>
      </c>
      <c r="J12" s="4" t="s">
        <v>283</v>
      </c>
      <c r="K12" s="11" t="n">
        <f aca="false">$AE$19</f>
        <v>1</v>
      </c>
      <c r="L12" s="151" t="n">
        <f aca="false">H12-K12</f>
        <v>0</v>
      </c>
      <c r="O12" s="35" t="n">
        <v>1</v>
      </c>
      <c r="P12" s="35" t="n">
        <v>0</v>
      </c>
      <c r="Q12" s="11" t="n">
        <v>1</v>
      </c>
      <c r="S12" s="35" t="n">
        <v>0</v>
      </c>
      <c r="U12" s="1" t="n">
        <v>0.25</v>
      </c>
      <c r="V12" s="1" t="n">
        <v>0.25</v>
      </c>
      <c r="W12" s="1" t="n">
        <v>0.25</v>
      </c>
      <c r="X12" s="1" t="n">
        <v>0.25</v>
      </c>
      <c r="Z12" s="63" t="n">
        <v>0</v>
      </c>
      <c r="AA12" s="11" t="n">
        <v>1</v>
      </c>
      <c r="AC12" s="35" t="n">
        <v>1</v>
      </c>
      <c r="AD12" s="35" t="n">
        <v>0</v>
      </c>
      <c r="AF12" s="1" t="n">
        <v>0.25</v>
      </c>
      <c r="AG12" s="1" t="n">
        <v>0.25</v>
      </c>
      <c r="AH12" s="1" t="n">
        <v>0.25</v>
      </c>
      <c r="AI12" s="1" t="n">
        <v>0.25</v>
      </c>
      <c r="AK12" s="6" t="n">
        <v>1</v>
      </c>
      <c r="AL12" s="6" t="n">
        <v>1</v>
      </c>
      <c r="AM12" s="6" t="n">
        <v>1</v>
      </c>
      <c r="AO12" s="11" t="n">
        <v>0</v>
      </c>
      <c r="AP12" s="11" t="n">
        <v>0</v>
      </c>
      <c r="AQ12" s="11" t="n">
        <v>0</v>
      </c>
      <c r="AR12" s="11" t="n">
        <v>1</v>
      </c>
      <c r="AS12" s="11" t="n">
        <v>0</v>
      </c>
      <c r="AT12" s="11" t="n">
        <v>0</v>
      </c>
      <c r="AU12" s="11" t="n">
        <v>0</v>
      </c>
      <c r="AV12" s="11" t="n">
        <v>0</v>
      </c>
    </row>
    <row r="13" customFormat="false" ht="15" hidden="false" customHeight="false" outlineLevel="0" collapsed="false">
      <c r="B13" s="1" t="s">
        <v>52</v>
      </c>
      <c r="E13" s="1" t="s">
        <v>284</v>
      </c>
      <c r="G13" s="1" t="s">
        <v>282</v>
      </c>
      <c r="H13" s="11" t="n">
        <f aca="false">$T$30</f>
        <v>1</v>
      </c>
      <c r="J13" s="4" t="s">
        <v>285</v>
      </c>
      <c r="K13" s="11" t="n">
        <f aca="false">$AF$30</f>
        <v>0.5</v>
      </c>
      <c r="L13" s="151" t="n">
        <f aca="false">H13-K13</f>
        <v>0.5</v>
      </c>
    </row>
    <row r="14" customFormat="false" ht="15" hidden="false" customHeight="false" outlineLevel="0" collapsed="false">
      <c r="B14" s="1" t="s">
        <v>55</v>
      </c>
      <c r="E14" s="1" t="s">
        <v>286</v>
      </c>
      <c r="G14" s="1" t="s">
        <v>282</v>
      </c>
      <c r="H14" s="152" t="n">
        <f aca="false">$T$42</f>
        <v>1.25</v>
      </c>
      <c r="J14" s="4" t="s">
        <v>287</v>
      </c>
      <c r="K14" s="11" t="n">
        <f aca="false">$AF$41</f>
        <v>0.75</v>
      </c>
      <c r="L14" s="151" t="n">
        <f aca="false">H14-K14</f>
        <v>0.5</v>
      </c>
      <c r="S14" s="5" t="s">
        <v>14</v>
      </c>
      <c r="T14" s="6" t="n">
        <v>0</v>
      </c>
      <c r="U14" s="6" t="n">
        <v>1</v>
      </c>
      <c r="V14" s="6" t="n">
        <v>0</v>
      </c>
      <c r="W14" s="6" t="n">
        <v>1</v>
      </c>
      <c r="AD14" s="5" t="s">
        <v>14</v>
      </c>
      <c r="AE14" s="6" t="n">
        <v>0</v>
      </c>
      <c r="AF14" s="6" t="n">
        <v>1</v>
      </c>
      <c r="AG14" s="6" t="n">
        <v>0</v>
      </c>
      <c r="AH14" s="6" t="n">
        <v>1</v>
      </c>
    </row>
    <row r="15" customFormat="false" ht="24.45" hidden="false" customHeight="false" outlineLevel="0" collapsed="false">
      <c r="B15" s="1" t="s">
        <v>62</v>
      </c>
      <c r="E15" s="1" t="s">
        <v>288</v>
      </c>
      <c r="G15" s="1" t="s">
        <v>282</v>
      </c>
      <c r="H15" s="11" t="n">
        <f aca="false">$T$54</f>
        <v>0.5</v>
      </c>
      <c r="J15" s="4" t="s">
        <v>289</v>
      </c>
      <c r="K15" s="11" t="n">
        <f aca="false">$AF$54</f>
        <v>0.5</v>
      </c>
      <c r="L15" s="151" t="n">
        <f aca="false">H15-K15</f>
        <v>0</v>
      </c>
      <c r="S15" s="5" t="s">
        <v>16</v>
      </c>
      <c r="T15" s="6" t="n">
        <v>0</v>
      </c>
      <c r="U15" s="6" t="n">
        <v>0</v>
      </c>
      <c r="V15" s="6" t="n">
        <v>1</v>
      </c>
      <c r="W15" s="6" t="n">
        <v>1</v>
      </c>
      <c r="AD15" s="5" t="s">
        <v>16</v>
      </c>
      <c r="AE15" s="6" t="n">
        <v>0</v>
      </c>
      <c r="AF15" s="6" t="n">
        <v>0</v>
      </c>
      <c r="AG15" s="6" t="n">
        <v>1</v>
      </c>
      <c r="AH15" s="6" t="n">
        <v>1</v>
      </c>
      <c r="AZ15" s="4" t="s">
        <v>290</v>
      </c>
      <c r="BA15" s="153" t="s">
        <v>291</v>
      </c>
      <c r="BB15" s="4" t="s">
        <v>292</v>
      </c>
    </row>
    <row r="16" customFormat="false" ht="16.4" hidden="false" customHeight="false" outlineLevel="0" collapsed="false">
      <c r="B16" s="1" t="s">
        <v>65</v>
      </c>
      <c r="P16" s="34" t="s">
        <v>14</v>
      </c>
      <c r="Q16" s="34" t="s">
        <v>15</v>
      </c>
      <c r="R16" s="34" t="s">
        <v>16</v>
      </c>
      <c r="AA16" s="34" t="s">
        <v>14</v>
      </c>
      <c r="AB16" s="34" t="s">
        <v>15</v>
      </c>
      <c r="AC16" s="34" t="s">
        <v>16</v>
      </c>
    </row>
    <row r="17" customFormat="false" ht="15" hidden="false" customHeight="false" outlineLevel="0" collapsed="false">
      <c r="B17" s="1" t="s">
        <v>66</v>
      </c>
      <c r="P17" s="1" t="n">
        <v>1</v>
      </c>
      <c r="Q17" s="1" t="n">
        <v>0</v>
      </c>
      <c r="R17" s="1" t="n">
        <v>0</v>
      </c>
      <c r="T17" s="76" t="n">
        <v>0.25</v>
      </c>
      <c r="U17" s="4" t="n">
        <f aca="false">Q12*U12</f>
        <v>0.25</v>
      </c>
      <c r="V17" s="1" t="n">
        <v>0.25</v>
      </c>
      <c r="W17" s="4" t="n">
        <f aca="false">Q12*V12</f>
        <v>0.25</v>
      </c>
      <c r="AA17" s="1" t="n">
        <v>1</v>
      </c>
      <c r="AB17" s="1" t="n">
        <v>0</v>
      </c>
      <c r="AC17" s="1" t="n">
        <v>0</v>
      </c>
      <c r="AE17" s="76" t="n">
        <v>0.25</v>
      </c>
      <c r="AF17" s="1" t="n">
        <v>0.25</v>
      </c>
      <c r="AG17" s="1" t="n">
        <v>0.25</v>
      </c>
      <c r="AH17" s="1" t="n">
        <v>0.25</v>
      </c>
    </row>
    <row r="18" customFormat="false" ht="15" hidden="false" customHeight="false" outlineLevel="0" collapsed="false">
      <c r="A18" s="1" t="s">
        <v>69</v>
      </c>
      <c r="C18" s="1" t="s">
        <v>293</v>
      </c>
      <c r="E18" s="37" t="s">
        <v>38</v>
      </c>
      <c r="G18" s="4" t="s">
        <v>125</v>
      </c>
      <c r="H18" s="33" t="s">
        <v>154</v>
      </c>
      <c r="J18" s="37" t="s">
        <v>41</v>
      </c>
      <c r="K18" s="33" t="s">
        <v>155</v>
      </c>
      <c r="L18" s="32" t="s">
        <v>43</v>
      </c>
      <c r="T18" s="12" t="n">
        <v>0</v>
      </c>
      <c r="U18" s="12" t="n">
        <v>0</v>
      </c>
      <c r="V18" s="12" t="n">
        <v>1</v>
      </c>
      <c r="W18" s="12" t="n">
        <v>0</v>
      </c>
      <c r="AE18" s="12" t="n">
        <v>0</v>
      </c>
      <c r="AF18" s="12" t="n">
        <v>0</v>
      </c>
      <c r="AG18" s="12" t="n">
        <v>1</v>
      </c>
      <c r="AH18" s="12" t="n">
        <v>0</v>
      </c>
    </row>
    <row r="19" customFormat="false" ht="15" hidden="false" customHeight="false" outlineLevel="0" collapsed="false">
      <c r="B19" s="1" t="s">
        <v>72</v>
      </c>
      <c r="E19" s="1" t="s">
        <v>294</v>
      </c>
      <c r="G19" s="1" t="s">
        <v>282</v>
      </c>
      <c r="H19" s="1" t="n">
        <f aca="false">$T$64</f>
        <v>1.25</v>
      </c>
      <c r="J19" s="1" t="s">
        <v>285</v>
      </c>
      <c r="K19" s="11" t="n">
        <f aca="false">$K$13</f>
        <v>0.5</v>
      </c>
      <c r="L19" s="151" t="n">
        <f aca="false">H19-K19</f>
        <v>0.75</v>
      </c>
      <c r="R19" s="4" t="s">
        <v>90</v>
      </c>
      <c r="T19" s="4" t="n">
        <f aca="false">T17*1+U17*2+W17*1</f>
        <v>1</v>
      </c>
      <c r="AC19" s="4" t="s">
        <v>90</v>
      </c>
      <c r="AE19" s="4" t="n">
        <f aca="false">AE17*1+AF17*2+AH17*1</f>
        <v>1</v>
      </c>
    </row>
    <row r="20" customFormat="false" ht="15" hidden="false" customHeight="false" outlineLevel="0" collapsed="false">
      <c r="B20" s="1" t="s">
        <v>74</v>
      </c>
      <c r="E20" s="1" t="s">
        <v>295</v>
      </c>
      <c r="G20" s="1" t="s">
        <v>282</v>
      </c>
      <c r="H20" s="1" t="n">
        <f aca="false">$T$76</f>
        <v>1</v>
      </c>
      <c r="J20" s="1" t="s">
        <v>287</v>
      </c>
      <c r="K20" s="11" t="n">
        <f aca="false">$AF$41</f>
        <v>0.75</v>
      </c>
      <c r="L20" s="151" t="n">
        <f aca="false">H20-K20</f>
        <v>0.25</v>
      </c>
      <c r="O20" s="4" t="s">
        <v>94</v>
      </c>
      <c r="T20" s="5" t="s">
        <v>14</v>
      </c>
      <c r="U20" s="6" t="n">
        <v>0</v>
      </c>
      <c r="V20" s="6" t="n">
        <v>1</v>
      </c>
      <c r="W20" s="6" t="n">
        <v>0</v>
      </c>
      <c r="X20" s="6" t="n">
        <v>1</v>
      </c>
      <c r="AE20" s="5" t="s">
        <v>14</v>
      </c>
      <c r="AF20" s="6" t="n">
        <v>0</v>
      </c>
      <c r="AG20" s="6" t="n">
        <v>1</v>
      </c>
      <c r="AH20" s="6" t="n">
        <v>0</v>
      </c>
      <c r="AI20" s="6" t="n">
        <v>1</v>
      </c>
    </row>
    <row r="21" customFormat="false" ht="15" hidden="false" customHeight="false" outlineLevel="0" collapsed="false">
      <c r="B21" s="1" t="s">
        <v>79</v>
      </c>
      <c r="E21" s="1" t="s">
        <v>296</v>
      </c>
      <c r="G21" s="1" t="s">
        <v>282</v>
      </c>
      <c r="H21" s="1" t="n">
        <f aca="false">$T$86</f>
        <v>0.5</v>
      </c>
      <c r="J21" s="1" t="s">
        <v>289</v>
      </c>
      <c r="K21" s="11" t="n">
        <f aca="false">$AF$54</f>
        <v>0.5</v>
      </c>
      <c r="L21" s="151" t="n">
        <f aca="false">H21-K21</f>
        <v>0</v>
      </c>
      <c r="T21" s="5" t="s">
        <v>16</v>
      </c>
      <c r="U21" s="6" t="n">
        <v>0</v>
      </c>
      <c r="V21" s="6" t="n">
        <v>0</v>
      </c>
      <c r="W21" s="6" t="n">
        <v>1</v>
      </c>
      <c r="X21" s="6" t="n">
        <v>1</v>
      </c>
      <c r="AE21" s="5" t="s">
        <v>16</v>
      </c>
      <c r="AF21" s="6" t="n">
        <v>0</v>
      </c>
      <c r="AG21" s="6" t="n">
        <v>0</v>
      </c>
      <c r="AH21" s="6" t="n">
        <v>1</v>
      </c>
      <c r="AI21" s="6" t="n">
        <v>1</v>
      </c>
    </row>
    <row r="22" customFormat="false" ht="15" hidden="false" customHeight="false" outlineLevel="0" collapsed="false">
      <c r="B22" s="1" t="s">
        <v>81</v>
      </c>
      <c r="O22" s="34" t="s">
        <v>14</v>
      </c>
      <c r="P22" s="34" t="s">
        <v>16</v>
      </c>
      <c r="S22" s="75" t="s">
        <v>15</v>
      </c>
      <c r="Z22" s="5" t="s">
        <v>16</v>
      </c>
      <c r="AC22" s="5" t="s">
        <v>14</v>
      </c>
      <c r="AD22" s="75" t="s">
        <v>15</v>
      </c>
    </row>
    <row r="23" customFormat="false" ht="15" hidden="false" customHeight="false" outlineLevel="0" collapsed="false">
      <c r="B23" s="1" t="s">
        <v>82</v>
      </c>
      <c r="O23" s="35" t="n">
        <v>1</v>
      </c>
      <c r="P23" s="35" t="n">
        <v>0</v>
      </c>
      <c r="Q23" s="11" t="n">
        <v>1</v>
      </c>
      <c r="S23" s="35" t="n">
        <v>0</v>
      </c>
      <c r="U23" s="76" t="n">
        <v>0.25</v>
      </c>
      <c r="V23" s="1" t="n">
        <v>0.25</v>
      </c>
      <c r="W23" s="1" t="n">
        <v>0.25</v>
      </c>
      <c r="X23" s="1" t="n">
        <v>0.25</v>
      </c>
      <c r="Z23" s="63" t="n">
        <v>0</v>
      </c>
      <c r="AA23" s="11" t="n">
        <v>1</v>
      </c>
      <c r="AC23" s="35" t="n">
        <v>1</v>
      </c>
      <c r="AD23" s="35" t="n">
        <v>0</v>
      </c>
      <c r="AF23" s="1" t="n">
        <v>0</v>
      </c>
      <c r="AG23" s="1" t="n">
        <v>0</v>
      </c>
      <c r="AH23" s="1" t="n">
        <v>0.5</v>
      </c>
      <c r="AI23" s="1" t="n">
        <v>0.5</v>
      </c>
    </row>
    <row r="24" customFormat="false" ht="15" hidden="false" customHeight="false" outlineLevel="0" collapsed="false">
      <c r="A24" s="1" t="s">
        <v>83</v>
      </c>
      <c r="C24" s="1" t="s">
        <v>297</v>
      </c>
      <c r="E24" s="37" t="s">
        <v>38</v>
      </c>
      <c r="G24" s="4" t="s">
        <v>125</v>
      </c>
      <c r="H24" s="33" t="s">
        <v>154</v>
      </c>
      <c r="J24" s="37" t="s">
        <v>41</v>
      </c>
      <c r="K24" s="33" t="s">
        <v>155</v>
      </c>
      <c r="L24" s="32" t="s">
        <v>43</v>
      </c>
    </row>
    <row r="25" customFormat="false" ht="15" hidden="false" customHeight="false" outlineLevel="0" collapsed="false">
      <c r="B25" s="1" t="s">
        <v>86</v>
      </c>
      <c r="E25" s="1" t="s">
        <v>298</v>
      </c>
      <c r="G25" s="1" t="s">
        <v>282</v>
      </c>
      <c r="H25" s="11" t="n">
        <f aca="false">$AF$41</f>
        <v>0.75</v>
      </c>
      <c r="J25" s="4" t="s">
        <v>285</v>
      </c>
      <c r="K25" s="11" t="n">
        <f aca="false">$K$13</f>
        <v>0.5</v>
      </c>
      <c r="L25" s="151" t="n">
        <f aca="false">H25-K25</f>
        <v>0.25</v>
      </c>
      <c r="S25" s="5" t="s">
        <v>14</v>
      </c>
      <c r="T25" s="6" t="n">
        <v>0</v>
      </c>
      <c r="U25" s="6" t="n">
        <v>1</v>
      </c>
      <c r="V25" s="6" t="n">
        <v>0</v>
      </c>
      <c r="W25" s="6" t="n">
        <v>1</v>
      </c>
      <c r="AE25" s="5" t="s">
        <v>14</v>
      </c>
      <c r="AF25" s="6" t="n">
        <v>0</v>
      </c>
      <c r="AG25" s="6" t="n">
        <v>1</v>
      </c>
      <c r="AH25" s="6" t="n">
        <v>0</v>
      </c>
      <c r="AI25" s="6" t="n">
        <v>1</v>
      </c>
    </row>
    <row r="26" customFormat="false" ht="15" hidden="false" customHeight="false" outlineLevel="0" collapsed="false">
      <c r="B26" s="1" t="s">
        <v>88</v>
      </c>
      <c r="E26" s="1" t="s">
        <v>299</v>
      </c>
      <c r="G26" s="1" t="s">
        <v>282</v>
      </c>
      <c r="H26" s="11" t="n">
        <f aca="false">$K$13</f>
        <v>0.5</v>
      </c>
      <c r="J26" s="4" t="s">
        <v>287</v>
      </c>
      <c r="K26" s="11" t="n">
        <f aca="false">$AF$41</f>
        <v>0.75</v>
      </c>
      <c r="L26" s="151" t="n">
        <f aca="false">H26-K26</f>
        <v>-0.25</v>
      </c>
      <c r="S26" s="5" t="s">
        <v>16</v>
      </c>
      <c r="T26" s="6" t="n">
        <v>0</v>
      </c>
      <c r="U26" s="6" t="n">
        <v>0</v>
      </c>
      <c r="V26" s="6" t="n">
        <v>1</v>
      </c>
      <c r="W26" s="6" t="n">
        <v>1</v>
      </c>
      <c r="AE26" s="5" t="s">
        <v>16</v>
      </c>
      <c r="AF26" s="6" t="n">
        <v>0</v>
      </c>
      <c r="AG26" s="6" t="n">
        <v>0</v>
      </c>
      <c r="AH26" s="6" t="n">
        <v>1</v>
      </c>
      <c r="AI26" s="6" t="n">
        <v>1</v>
      </c>
    </row>
    <row r="27" customFormat="false" ht="15" hidden="false" customHeight="false" outlineLevel="0" collapsed="false">
      <c r="B27" s="1" t="s">
        <v>95</v>
      </c>
      <c r="P27" s="34" t="s">
        <v>14</v>
      </c>
      <c r="Q27" s="34" t="s">
        <v>15</v>
      </c>
      <c r="R27" s="34" t="s">
        <v>16</v>
      </c>
      <c r="AB27" s="34" t="s">
        <v>14</v>
      </c>
      <c r="AC27" s="34" t="s">
        <v>15</v>
      </c>
      <c r="AD27" s="34" t="s">
        <v>16</v>
      </c>
    </row>
    <row r="28" customFormat="false" ht="15" hidden="false" customHeight="false" outlineLevel="0" collapsed="false">
      <c r="B28" s="1" t="s">
        <v>96</v>
      </c>
      <c r="P28" s="1" t="n">
        <v>1</v>
      </c>
      <c r="Q28" s="1" t="n">
        <v>0</v>
      </c>
      <c r="R28" s="1" t="n">
        <v>0</v>
      </c>
      <c r="T28" s="76" t="n">
        <v>0.25</v>
      </c>
      <c r="U28" s="4" t="n">
        <f aca="false">Q23*U23</f>
        <v>0.25</v>
      </c>
      <c r="V28" s="1" t="n">
        <v>0.25</v>
      </c>
      <c r="W28" s="4" t="n">
        <f aca="false">Q23*V23</f>
        <v>0.25</v>
      </c>
      <c r="AB28" s="35" t="n">
        <v>1</v>
      </c>
      <c r="AC28" s="35" t="n">
        <v>0</v>
      </c>
      <c r="AD28" s="35" t="n">
        <v>0</v>
      </c>
      <c r="AF28" s="76" t="n">
        <v>0</v>
      </c>
      <c r="AG28" s="4" t="n">
        <f aca="false">AC23*AG23</f>
        <v>0</v>
      </c>
      <c r="AH28" s="1" t="n">
        <v>0.5</v>
      </c>
      <c r="AI28" s="4" t="n">
        <f aca="false">AC23*AH23</f>
        <v>0.5</v>
      </c>
    </row>
    <row r="29" customFormat="false" ht="15" hidden="false" customHeight="false" outlineLevel="0" collapsed="false">
      <c r="A29" s="1" t="s">
        <v>300</v>
      </c>
      <c r="T29" s="12" t="n">
        <v>0</v>
      </c>
      <c r="U29" s="12" t="n">
        <v>0</v>
      </c>
      <c r="V29" s="12" t="n">
        <v>1</v>
      </c>
      <c r="W29" s="12" t="n">
        <v>0</v>
      </c>
      <c r="AF29" s="12" t="n">
        <v>0</v>
      </c>
      <c r="AG29" s="12" t="n">
        <v>0</v>
      </c>
      <c r="AH29" s="12" t="n">
        <v>1</v>
      </c>
      <c r="AI29" s="12" t="n">
        <v>0</v>
      </c>
    </row>
    <row r="30" customFormat="false" ht="15" hidden="false" customHeight="false" outlineLevel="0" collapsed="false">
      <c r="B30" s="73" t="s">
        <v>301</v>
      </c>
      <c r="R30" s="4" t="s">
        <v>90</v>
      </c>
      <c r="T30" s="4" t="n">
        <f aca="false">T28*1+U28*2+W28*1</f>
        <v>1</v>
      </c>
      <c r="AD30" s="4" t="s">
        <v>90</v>
      </c>
      <c r="AF30" s="4" t="n">
        <f aca="false">AF28*1+AG28*2+AI28*1</f>
        <v>0.5</v>
      </c>
    </row>
    <row r="31" customFormat="false" ht="15" hidden="false" customHeight="false" outlineLevel="0" collapsed="false">
      <c r="B31" s="73" t="s">
        <v>302</v>
      </c>
      <c r="O31" s="4" t="s">
        <v>107</v>
      </c>
    </row>
    <row r="32" customFormat="false" ht="15" hidden="false" customHeight="false" outlineLevel="0" collapsed="false">
      <c r="B32" s="73" t="s">
        <v>303</v>
      </c>
      <c r="P32" s="5" t="s">
        <v>14</v>
      </c>
      <c r="U32" s="5" t="s">
        <v>16</v>
      </c>
      <c r="Z32" s="34" t="s">
        <v>14</v>
      </c>
      <c r="AE32" s="5" t="s">
        <v>16</v>
      </c>
      <c r="AF32" s="6" t="n">
        <v>0</v>
      </c>
      <c r="AG32" s="6" t="n">
        <v>1</v>
      </c>
    </row>
    <row r="33" customFormat="false" ht="15" hidden="false" customHeight="false" outlineLevel="0" collapsed="false">
      <c r="B33" s="73" t="s">
        <v>304</v>
      </c>
      <c r="P33" s="37" t="n">
        <v>0</v>
      </c>
      <c r="Q33" s="37" t="n">
        <v>1</v>
      </c>
      <c r="U33" s="6" t="n">
        <v>0</v>
      </c>
      <c r="V33" s="6" t="n">
        <v>1</v>
      </c>
      <c r="Z33" s="6" t="n">
        <v>0</v>
      </c>
      <c r="AA33" s="6" t="n">
        <v>1</v>
      </c>
      <c r="AC33" s="34" t="s">
        <v>14</v>
      </c>
      <c r="AD33" s="34" t="s">
        <v>15</v>
      </c>
      <c r="AE33" s="34" t="s">
        <v>16</v>
      </c>
    </row>
    <row r="34" customFormat="false" ht="15" hidden="false" customHeight="false" outlineLevel="0" collapsed="false">
      <c r="O34" s="34" t="s">
        <v>14</v>
      </c>
      <c r="S34" s="5" t="s">
        <v>15</v>
      </c>
      <c r="T34" s="75" t="s">
        <v>16</v>
      </c>
      <c r="Z34" s="84" t="n">
        <v>0.25</v>
      </c>
      <c r="AA34" s="84" t="n">
        <v>0.75</v>
      </c>
      <c r="AC34" s="35" t="n">
        <v>1</v>
      </c>
      <c r="AD34" s="35" t="n">
        <v>0</v>
      </c>
      <c r="AE34" s="35" t="n">
        <v>0</v>
      </c>
      <c r="AF34" s="11" t="n">
        <v>0</v>
      </c>
      <c r="AG34" s="11" t="n">
        <v>1</v>
      </c>
    </row>
    <row r="35" customFormat="false" ht="15" hidden="false" customHeight="false" outlineLevel="0" collapsed="false">
      <c r="A35" s="77" t="s">
        <v>305</v>
      </c>
      <c r="B35" s="77"/>
      <c r="C35" s="77"/>
      <c r="D35" s="77"/>
      <c r="E35" s="77"/>
      <c r="F35" s="77"/>
      <c r="G35" s="77"/>
      <c r="H35" s="77"/>
      <c r="I35" s="77"/>
      <c r="O35" s="35" t="n">
        <v>1</v>
      </c>
      <c r="P35" s="11" t="n">
        <v>0.25</v>
      </c>
      <c r="Q35" s="11" t="n">
        <v>0.75</v>
      </c>
      <c r="S35" s="35" t="n">
        <v>0</v>
      </c>
      <c r="T35" s="35" t="n">
        <v>0</v>
      </c>
      <c r="U35" s="1" t="n">
        <v>0.5</v>
      </c>
      <c r="V35" s="1" t="n">
        <v>0.5</v>
      </c>
    </row>
    <row r="36" customFormat="false" ht="15" hidden="false" customHeight="false" outlineLevel="0" collapsed="false">
      <c r="A36" s="1" t="s">
        <v>33</v>
      </c>
      <c r="AE36" s="5" t="s">
        <v>14</v>
      </c>
      <c r="AF36" s="6" t="n">
        <v>0</v>
      </c>
      <c r="AG36" s="6" t="n">
        <v>1</v>
      </c>
      <c r="AH36" s="6" t="n">
        <v>0</v>
      </c>
      <c r="AI36" s="6" t="n">
        <v>1</v>
      </c>
    </row>
    <row r="37" customFormat="false" ht="15" hidden="false" customHeight="false" outlineLevel="0" collapsed="false">
      <c r="A37" s="1" t="s">
        <v>36</v>
      </c>
      <c r="C37" s="1" t="s">
        <v>306</v>
      </c>
      <c r="E37" s="37" t="s">
        <v>38</v>
      </c>
      <c r="G37" s="4" t="s">
        <v>125</v>
      </c>
      <c r="H37" s="33" t="s">
        <v>154</v>
      </c>
      <c r="J37" s="37" t="s">
        <v>41</v>
      </c>
      <c r="K37" s="33" t="s">
        <v>155</v>
      </c>
      <c r="L37" s="32" t="s">
        <v>43</v>
      </c>
      <c r="S37" s="5" t="s">
        <v>14</v>
      </c>
      <c r="T37" s="6" t="n">
        <v>0</v>
      </c>
      <c r="U37" s="6" t="n">
        <v>1</v>
      </c>
      <c r="V37" s="6" t="n">
        <v>0</v>
      </c>
      <c r="W37" s="6" t="n">
        <v>1</v>
      </c>
      <c r="AE37" s="5" t="s">
        <v>16</v>
      </c>
      <c r="AF37" s="6" t="n">
        <v>0</v>
      </c>
      <c r="AG37" s="6" t="n">
        <v>0</v>
      </c>
      <c r="AH37" s="6" t="n">
        <v>1</v>
      </c>
      <c r="AI37" s="6" t="n">
        <v>1</v>
      </c>
    </row>
    <row r="38" customFormat="false" ht="15" hidden="false" customHeight="false" outlineLevel="0" collapsed="false">
      <c r="B38" s="1" t="s">
        <v>307</v>
      </c>
      <c r="E38" s="1" t="s">
        <v>308</v>
      </c>
      <c r="G38" s="1" t="s">
        <v>282</v>
      </c>
      <c r="H38" s="11" t="n">
        <f aca="false">$T$19</f>
        <v>1</v>
      </c>
      <c r="J38" s="4" t="s">
        <v>283</v>
      </c>
      <c r="K38" s="11" t="n">
        <f aca="false">$AE$19</f>
        <v>1</v>
      </c>
      <c r="L38" s="154" t="n">
        <f aca="false">H38-K38</f>
        <v>0</v>
      </c>
      <c r="S38" s="5" t="s">
        <v>16</v>
      </c>
      <c r="T38" s="6" t="n">
        <v>0</v>
      </c>
      <c r="U38" s="6" t="n">
        <v>0</v>
      </c>
      <c r="V38" s="6" t="n">
        <v>1</v>
      </c>
      <c r="W38" s="6" t="n">
        <v>1</v>
      </c>
      <c r="AB38" s="34" t="s">
        <v>14</v>
      </c>
      <c r="AC38" s="34" t="s">
        <v>15</v>
      </c>
      <c r="AD38" s="34" t="s">
        <v>16</v>
      </c>
    </row>
    <row r="39" customFormat="false" ht="15" hidden="false" customHeight="false" outlineLevel="0" collapsed="false">
      <c r="B39" s="1" t="s">
        <v>309</v>
      </c>
      <c r="E39" s="1" t="s">
        <v>310</v>
      </c>
      <c r="G39" s="1" t="s">
        <v>282</v>
      </c>
      <c r="H39" s="11" t="n">
        <f aca="false">$T$54</f>
        <v>0.5</v>
      </c>
      <c r="J39" s="4" t="s">
        <v>289</v>
      </c>
      <c r="K39" s="11" t="n">
        <f aca="false">$AF$54</f>
        <v>0.5</v>
      </c>
      <c r="L39" s="154" t="n">
        <f aca="false">H39-K39</f>
        <v>0</v>
      </c>
      <c r="P39" s="34" t="s">
        <v>14</v>
      </c>
      <c r="Q39" s="34" t="s">
        <v>15</v>
      </c>
      <c r="R39" s="34" t="s">
        <v>16</v>
      </c>
      <c r="AB39" s="35" t="n">
        <v>1</v>
      </c>
      <c r="AC39" s="35" t="n">
        <v>0</v>
      </c>
      <c r="AD39" s="35" t="n">
        <v>0</v>
      </c>
      <c r="AF39" s="4" t="n">
        <f aca="false">Z34*AF34</f>
        <v>0</v>
      </c>
      <c r="AG39" s="4" t="n">
        <f aca="false">AA34*AF34</f>
        <v>0</v>
      </c>
      <c r="AH39" s="4" t="n">
        <f aca="false">Z34*AG34</f>
        <v>0.25</v>
      </c>
      <c r="AI39" s="4" t="n">
        <f aca="false">AA34*AG34</f>
        <v>0.75</v>
      </c>
    </row>
    <row r="40" customFormat="false" ht="15" hidden="false" customHeight="false" outlineLevel="0" collapsed="false">
      <c r="B40" s="1" t="s">
        <v>311</v>
      </c>
      <c r="E40" s="1" t="s">
        <v>312</v>
      </c>
      <c r="G40" s="1" t="s">
        <v>282</v>
      </c>
      <c r="H40" s="11" t="n">
        <f aca="false">$T$99</f>
        <v>1</v>
      </c>
      <c r="J40" s="4" t="s">
        <v>313</v>
      </c>
      <c r="K40" s="11" t="n">
        <f aca="false">$AF$99</f>
        <v>0.5</v>
      </c>
      <c r="L40" s="154" t="n">
        <f aca="false">H40-K40</f>
        <v>0.5</v>
      </c>
      <c r="O40" s="4" t="s">
        <v>119</v>
      </c>
      <c r="T40" s="4" t="n">
        <f aca="false">P35*U35</f>
        <v>0.125</v>
      </c>
      <c r="U40" s="4" t="n">
        <f aca="false">Q35*U35</f>
        <v>0.375</v>
      </c>
      <c r="V40" s="4" t="n">
        <f aca="false">P35*V35</f>
        <v>0.125</v>
      </c>
      <c r="W40" s="4" t="n">
        <f aca="false">Q35*V35</f>
        <v>0.375</v>
      </c>
      <c r="AF40" s="12" t="n">
        <v>0</v>
      </c>
      <c r="AG40" s="12" t="n">
        <v>0</v>
      </c>
      <c r="AH40" s="12" t="n">
        <v>1</v>
      </c>
      <c r="AI40" s="12" t="n">
        <v>0</v>
      </c>
    </row>
    <row r="41" customFormat="false" ht="15" hidden="false" customHeight="false" outlineLevel="0" collapsed="false">
      <c r="B41" s="1" t="s">
        <v>314</v>
      </c>
      <c r="T41" s="12" t="n">
        <v>0</v>
      </c>
      <c r="U41" s="12" t="n">
        <v>0</v>
      </c>
      <c r="V41" s="12" t="n">
        <v>1</v>
      </c>
      <c r="W41" s="12" t="n">
        <v>0</v>
      </c>
      <c r="AD41" s="4" t="s">
        <v>90</v>
      </c>
      <c r="AF41" s="4" t="n">
        <f aca="false">AF39*1+AG39*2+AI39*1</f>
        <v>0.75</v>
      </c>
    </row>
    <row r="42" customFormat="false" ht="15" hidden="false" customHeight="false" outlineLevel="0" collapsed="false">
      <c r="B42" s="1" t="s">
        <v>315</v>
      </c>
      <c r="R42" s="1" t="s">
        <v>90</v>
      </c>
      <c r="T42" s="1" t="n">
        <f aca="false">T40*1+U40*2+W40*1</f>
        <v>1.25</v>
      </c>
    </row>
    <row r="43" customFormat="false" ht="15" hidden="false" customHeight="false" outlineLevel="0" collapsed="false">
      <c r="A43" s="1" t="s">
        <v>123</v>
      </c>
      <c r="C43" s="1" t="s">
        <v>316</v>
      </c>
      <c r="E43" s="37" t="s">
        <v>38</v>
      </c>
      <c r="G43" s="4" t="s">
        <v>125</v>
      </c>
      <c r="H43" s="33" t="s">
        <v>154</v>
      </c>
      <c r="J43" s="37" t="s">
        <v>41</v>
      </c>
      <c r="K43" s="33" t="s">
        <v>155</v>
      </c>
      <c r="L43" s="32" t="s">
        <v>43</v>
      </c>
      <c r="O43" s="4" t="s">
        <v>121</v>
      </c>
    </row>
    <row r="44" customFormat="false" ht="15" hidden="false" customHeight="false" outlineLevel="0" collapsed="false">
      <c r="B44" s="1" t="s">
        <v>317</v>
      </c>
      <c r="E44" s="1" t="s">
        <v>318</v>
      </c>
      <c r="G44" s="1" t="s">
        <v>282</v>
      </c>
      <c r="H44" s="11" t="n">
        <f aca="false">$AF$99</f>
        <v>0.5</v>
      </c>
      <c r="J44" s="4" t="s">
        <v>289</v>
      </c>
      <c r="K44" s="11" t="n">
        <f aca="false">$AF$54</f>
        <v>0.5</v>
      </c>
      <c r="L44" s="45" t="n">
        <f aca="false">H44-K44</f>
        <v>0</v>
      </c>
      <c r="P44" s="4" t="s">
        <v>16</v>
      </c>
      <c r="U44" s="4" t="s">
        <v>14</v>
      </c>
    </row>
    <row r="45" customFormat="false" ht="15" hidden="false" customHeight="false" outlineLevel="0" collapsed="false">
      <c r="B45" s="1" t="s">
        <v>319</v>
      </c>
      <c r="E45" s="1" t="s">
        <v>320</v>
      </c>
      <c r="G45" s="1" t="s">
        <v>282</v>
      </c>
      <c r="H45" s="11" t="n">
        <f aca="false">$AF$54</f>
        <v>0.5</v>
      </c>
      <c r="J45" s="4" t="s">
        <v>313</v>
      </c>
      <c r="K45" s="11" t="n">
        <f aca="false">$AF$99</f>
        <v>0.5</v>
      </c>
      <c r="L45" s="45" t="n">
        <f aca="false">H45-K45</f>
        <v>0</v>
      </c>
      <c r="P45" s="37" t="n">
        <v>0</v>
      </c>
      <c r="Q45" s="37" t="n">
        <v>1</v>
      </c>
      <c r="U45" s="6" t="n">
        <v>0</v>
      </c>
      <c r="V45" s="6" t="n">
        <v>1</v>
      </c>
      <c r="AA45" s="37" t="s">
        <v>16</v>
      </c>
      <c r="AF45" s="5" t="s">
        <v>14</v>
      </c>
      <c r="AG45" s="6" t="n">
        <v>0</v>
      </c>
      <c r="AH45" s="6" t="n">
        <v>1</v>
      </c>
    </row>
    <row r="46" customFormat="false" ht="15" hidden="false" customHeight="false" outlineLevel="0" collapsed="false">
      <c r="B46" s="1" t="s">
        <v>321</v>
      </c>
      <c r="O46" s="34" t="s">
        <v>14</v>
      </c>
      <c r="S46" s="75" t="s">
        <v>15</v>
      </c>
      <c r="T46" s="75" t="s">
        <v>16</v>
      </c>
      <c r="Z46" s="6" t="n">
        <v>0</v>
      </c>
      <c r="AA46" s="6" t="n">
        <v>1</v>
      </c>
      <c r="AC46" s="34" t="s">
        <v>14</v>
      </c>
      <c r="AD46" s="34" t="s">
        <v>15</v>
      </c>
      <c r="AE46" s="34" t="s">
        <v>16</v>
      </c>
    </row>
    <row r="47" customFormat="false" ht="15" hidden="false" customHeight="false" outlineLevel="0" collapsed="false">
      <c r="B47" s="1" t="s">
        <v>322</v>
      </c>
      <c r="O47" s="35" t="n">
        <v>1</v>
      </c>
      <c r="P47" s="1" t="n">
        <v>0.5</v>
      </c>
      <c r="Q47" s="1" t="n">
        <v>0.5</v>
      </c>
      <c r="S47" s="35" t="n">
        <v>0</v>
      </c>
      <c r="T47" s="35" t="n">
        <v>0</v>
      </c>
      <c r="U47" s="1" t="n">
        <v>1</v>
      </c>
      <c r="V47" s="1" t="n">
        <v>0</v>
      </c>
      <c r="Z47" s="1" t="n">
        <v>0.5</v>
      </c>
      <c r="AA47" s="1" t="n">
        <v>0.5</v>
      </c>
      <c r="AC47" s="35" t="n">
        <v>1</v>
      </c>
      <c r="AD47" s="35" t="n">
        <v>0</v>
      </c>
      <c r="AE47" s="35" t="n">
        <v>0</v>
      </c>
      <c r="AG47" s="1" t="n">
        <v>1</v>
      </c>
      <c r="AH47" s="1" t="n">
        <v>0</v>
      </c>
    </row>
    <row r="48" customFormat="false" ht="15" hidden="false" customHeight="false" outlineLevel="0" collapsed="false">
      <c r="A48" s="1" t="s">
        <v>323</v>
      </c>
    </row>
    <row r="49" customFormat="false" ht="15" hidden="false" customHeight="false" outlineLevel="0" collapsed="false">
      <c r="B49" s="73" t="s">
        <v>324</v>
      </c>
      <c r="S49" s="5" t="s">
        <v>14</v>
      </c>
      <c r="T49" s="6" t="n">
        <v>0</v>
      </c>
      <c r="U49" s="6" t="n">
        <v>1</v>
      </c>
      <c r="V49" s="6" t="n">
        <v>0</v>
      </c>
      <c r="W49" s="6" t="n">
        <v>1</v>
      </c>
      <c r="AE49" s="5" t="s">
        <v>14</v>
      </c>
      <c r="AF49" s="6" t="n">
        <v>0</v>
      </c>
      <c r="AG49" s="6" t="n">
        <v>1</v>
      </c>
      <c r="AH49" s="6" t="n">
        <v>0</v>
      </c>
      <c r="AI49" s="6" t="n">
        <v>1</v>
      </c>
    </row>
    <row r="50" customFormat="false" ht="15" hidden="false" customHeight="false" outlineLevel="0" collapsed="false">
      <c r="B50" s="73" t="s">
        <v>325</v>
      </c>
      <c r="S50" s="5" t="s">
        <v>16</v>
      </c>
      <c r="T50" s="6" t="n">
        <v>0</v>
      </c>
      <c r="U50" s="6" t="n">
        <v>0</v>
      </c>
      <c r="V50" s="6" t="n">
        <v>1</v>
      </c>
      <c r="W50" s="6" t="n">
        <v>1</v>
      </c>
      <c r="AE50" s="5" t="s">
        <v>16</v>
      </c>
      <c r="AF50" s="6" t="n">
        <v>0</v>
      </c>
      <c r="AG50" s="6" t="n">
        <v>0</v>
      </c>
      <c r="AH50" s="6" t="n">
        <v>1</v>
      </c>
      <c r="AI50" s="6" t="n">
        <v>1</v>
      </c>
    </row>
    <row r="51" customFormat="false" ht="15" hidden="false" customHeight="false" outlineLevel="0" collapsed="false">
      <c r="B51" s="73" t="s">
        <v>326</v>
      </c>
      <c r="P51" s="34" t="s">
        <v>14</v>
      </c>
      <c r="Q51" s="34" t="s">
        <v>15</v>
      </c>
      <c r="R51" s="34" t="s">
        <v>16</v>
      </c>
      <c r="AB51" s="34" t="s">
        <v>14</v>
      </c>
      <c r="AC51" s="34" t="s">
        <v>15</v>
      </c>
      <c r="AD51" s="34" t="s">
        <v>16</v>
      </c>
    </row>
    <row r="52" customFormat="false" ht="15" hidden="false" customHeight="false" outlineLevel="0" collapsed="false">
      <c r="B52" s="73" t="s">
        <v>327</v>
      </c>
      <c r="P52" s="35" t="n">
        <v>1</v>
      </c>
      <c r="Q52" s="35" t="n">
        <v>0</v>
      </c>
      <c r="R52" s="35" t="n">
        <v>0</v>
      </c>
      <c r="T52" s="4" t="n">
        <f aca="false">U47*P47</f>
        <v>0.5</v>
      </c>
      <c r="U52" s="4" t="n">
        <f aca="false">P47*V47</f>
        <v>0</v>
      </c>
      <c r="V52" s="4" t="n">
        <f aca="false">U47*Q47</f>
        <v>0.5</v>
      </c>
      <c r="W52" s="4" t="n">
        <f aca="false">V47*Q47</f>
        <v>0</v>
      </c>
      <c r="AB52" s="35" t="n">
        <v>1</v>
      </c>
      <c r="AC52" s="35" t="n">
        <v>0</v>
      </c>
      <c r="AD52" s="35" t="n">
        <v>0</v>
      </c>
      <c r="AF52" s="4" t="n">
        <f aca="false">AG47*Z47</f>
        <v>0.5</v>
      </c>
      <c r="AG52" s="4" t="n">
        <f aca="false">AH47*Z47</f>
        <v>0</v>
      </c>
      <c r="AH52" s="4" t="n">
        <f aca="false">AG47*AA47</f>
        <v>0.5</v>
      </c>
      <c r="AI52" s="4" t="n">
        <f aca="false">AH47*AA47</f>
        <v>0</v>
      </c>
    </row>
    <row r="53" customFormat="false" ht="15" hidden="false" customHeight="false" outlineLevel="0" collapsed="false">
      <c r="A53" s="77" t="s">
        <v>328</v>
      </c>
      <c r="B53" s="77"/>
      <c r="C53" s="77"/>
      <c r="D53" s="77"/>
      <c r="E53" s="77"/>
      <c r="F53" s="77"/>
      <c r="G53" s="77"/>
      <c r="H53" s="77"/>
      <c r="I53" s="77"/>
      <c r="T53" s="12" t="n">
        <v>0</v>
      </c>
      <c r="U53" s="12" t="n">
        <v>0</v>
      </c>
      <c r="V53" s="12" t="n">
        <v>1</v>
      </c>
      <c r="W53" s="12" t="n">
        <v>0</v>
      </c>
      <c r="AF53" s="12" t="n">
        <v>0</v>
      </c>
      <c r="AG53" s="12" t="n">
        <v>0</v>
      </c>
      <c r="AH53" s="12" t="n">
        <v>1</v>
      </c>
      <c r="AI53" s="12" t="n">
        <v>0</v>
      </c>
    </row>
    <row r="54" customFormat="false" ht="15" hidden="false" customHeight="false" outlineLevel="0" collapsed="false">
      <c r="A54" s="1" t="s">
        <v>33</v>
      </c>
      <c r="R54" s="1" t="s">
        <v>90</v>
      </c>
      <c r="T54" s="1" t="n">
        <f aca="false">T52*1+U52*2+W52*1</f>
        <v>0.5</v>
      </c>
      <c r="AD54" s="1" t="s">
        <v>90</v>
      </c>
      <c r="AF54" s="1" t="n">
        <f aca="false">AF52*1+AG52*2+AI52*1</f>
        <v>0.5</v>
      </c>
    </row>
    <row r="55" customFormat="false" ht="15" hidden="false" customHeight="false" outlineLevel="0" collapsed="false">
      <c r="A55" s="1" t="s">
        <v>36</v>
      </c>
      <c r="C55" s="1" t="s">
        <v>329</v>
      </c>
      <c r="E55" s="37" t="s">
        <v>38</v>
      </c>
      <c r="G55" s="4" t="s">
        <v>125</v>
      </c>
      <c r="H55" s="33" t="s">
        <v>154</v>
      </c>
      <c r="J55" s="37" t="s">
        <v>41</v>
      </c>
      <c r="K55" s="33" t="s">
        <v>155</v>
      </c>
      <c r="L55" s="32" t="s">
        <v>43</v>
      </c>
      <c r="O55" s="4" t="s">
        <v>138</v>
      </c>
      <c r="S55" s="5" t="s">
        <v>14</v>
      </c>
      <c r="T55" s="6" t="n">
        <v>0</v>
      </c>
      <c r="U55" s="6" t="n">
        <v>1</v>
      </c>
      <c r="V55" s="6" t="n">
        <v>0</v>
      </c>
      <c r="W55" s="6" t="n">
        <v>1</v>
      </c>
    </row>
    <row r="56" customFormat="false" ht="15" hidden="false" customHeight="false" outlineLevel="0" collapsed="false">
      <c r="B56" s="1" t="s">
        <v>330</v>
      </c>
      <c r="E56" s="1" t="s">
        <v>331</v>
      </c>
      <c r="G56" s="1" t="s">
        <v>282</v>
      </c>
      <c r="H56" s="11" t="n">
        <f aca="false">$T$19</f>
        <v>1</v>
      </c>
      <c r="J56" s="4" t="s">
        <v>283</v>
      </c>
      <c r="K56" s="11" t="n">
        <f aca="false">$AE$19</f>
        <v>1</v>
      </c>
      <c r="L56" s="154" t="n">
        <f aca="false">H56-K56</f>
        <v>0</v>
      </c>
      <c r="O56" s="34" t="s">
        <v>14</v>
      </c>
      <c r="P56" s="34" t="s">
        <v>15</v>
      </c>
      <c r="Q56" s="34" t="s">
        <v>16</v>
      </c>
      <c r="S56" s="5" t="s">
        <v>16</v>
      </c>
      <c r="T56" s="6" t="n">
        <v>0</v>
      </c>
      <c r="U56" s="6" t="n">
        <v>0</v>
      </c>
      <c r="V56" s="6" t="n">
        <v>1</v>
      </c>
      <c r="W56" s="6" t="n">
        <v>1</v>
      </c>
    </row>
    <row r="57" customFormat="false" ht="15" hidden="false" customHeight="false" outlineLevel="0" collapsed="false">
      <c r="B57" s="1" t="s">
        <v>332</v>
      </c>
      <c r="E57" s="1" t="s">
        <v>333</v>
      </c>
      <c r="G57" s="1" t="s">
        <v>282</v>
      </c>
      <c r="H57" s="11" t="n">
        <f aca="false">$T$99</f>
        <v>1</v>
      </c>
      <c r="J57" s="4" t="s">
        <v>313</v>
      </c>
      <c r="K57" s="11" t="n">
        <f aca="false">$AF$99</f>
        <v>0.5</v>
      </c>
      <c r="L57" s="154" t="n">
        <f aca="false">H57-K57</f>
        <v>0.5</v>
      </c>
      <c r="O57" s="35" t="n">
        <v>1</v>
      </c>
      <c r="P57" s="35" t="n">
        <v>0</v>
      </c>
      <c r="Q57" s="35" t="n">
        <v>0</v>
      </c>
      <c r="R57" s="1" t="n">
        <v>1</v>
      </c>
      <c r="T57" s="1" t="n">
        <v>0.125</v>
      </c>
      <c r="U57" s="1" t="n">
        <v>0.375</v>
      </c>
      <c r="V57" s="1" t="n">
        <v>0.125</v>
      </c>
      <c r="W57" s="1" t="n">
        <v>0.375</v>
      </c>
    </row>
    <row r="58" customFormat="false" ht="15" hidden="false" customHeight="false" outlineLevel="0" collapsed="false">
      <c r="B58" s="1" t="s">
        <v>334</v>
      </c>
    </row>
    <row r="59" customFormat="false" ht="15" hidden="false" customHeight="false" outlineLevel="0" collapsed="false">
      <c r="B59" s="1" t="s">
        <v>335</v>
      </c>
      <c r="S59" s="5" t="s">
        <v>14</v>
      </c>
      <c r="T59" s="6" t="n">
        <v>0</v>
      </c>
      <c r="U59" s="6" t="n">
        <v>1</v>
      </c>
      <c r="V59" s="6" t="n">
        <v>0</v>
      </c>
      <c r="W59" s="6" t="n">
        <v>1</v>
      </c>
    </row>
    <row r="60" customFormat="false" ht="15" hidden="false" customHeight="false" outlineLevel="0" collapsed="false">
      <c r="A60" s="1" t="s">
        <v>336</v>
      </c>
      <c r="S60" s="5" t="s">
        <v>16</v>
      </c>
      <c r="T60" s="6" t="n">
        <v>0</v>
      </c>
      <c r="U60" s="6" t="n">
        <v>0</v>
      </c>
      <c r="V60" s="6" t="n">
        <v>1</v>
      </c>
      <c r="W60" s="6" t="n">
        <v>1</v>
      </c>
    </row>
    <row r="61" customFormat="false" ht="15" hidden="false" customHeight="false" outlineLevel="0" collapsed="false">
      <c r="B61" s="73" t="s">
        <v>337</v>
      </c>
      <c r="P61" s="34" t="s">
        <v>14</v>
      </c>
      <c r="Q61" s="34" t="s">
        <v>15</v>
      </c>
      <c r="R61" s="34" t="s">
        <v>16</v>
      </c>
    </row>
    <row r="62" customFormat="false" ht="15" hidden="false" customHeight="false" outlineLevel="0" collapsed="false">
      <c r="B62" s="73" t="s">
        <v>338</v>
      </c>
      <c r="P62" s="35" t="n">
        <v>1</v>
      </c>
      <c r="Q62" s="35" t="n">
        <v>0</v>
      </c>
      <c r="R62" s="35" t="n">
        <v>0</v>
      </c>
      <c r="T62" s="1" t="n">
        <v>0.125</v>
      </c>
      <c r="U62" s="1" t="n">
        <v>0.375</v>
      </c>
      <c r="V62" s="1" t="n">
        <v>0.125</v>
      </c>
      <c r="W62" s="1" t="n">
        <v>0.375</v>
      </c>
    </row>
    <row r="63" customFormat="false" ht="15" hidden="false" customHeight="false" outlineLevel="0" collapsed="false">
      <c r="B63" s="73" t="s">
        <v>339</v>
      </c>
      <c r="T63" s="12" t="n">
        <v>0</v>
      </c>
      <c r="U63" s="12" t="n">
        <v>0</v>
      </c>
      <c r="V63" s="12" t="n">
        <v>1</v>
      </c>
      <c r="W63" s="12" t="n">
        <v>0</v>
      </c>
    </row>
    <row r="64" customFormat="false" ht="15" hidden="false" customHeight="false" outlineLevel="0" collapsed="false">
      <c r="B64" s="73" t="s">
        <v>340</v>
      </c>
      <c r="R64" s="4" t="s">
        <v>90</v>
      </c>
      <c r="T64" s="4" t="n">
        <f aca="false">T62*1+U62*2+W62*1</f>
        <v>1.25</v>
      </c>
    </row>
    <row r="65" customFormat="false" ht="15" hidden="false" customHeight="false" outlineLevel="0" collapsed="false">
      <c r="A65" s="77" t="s">
        <v>341</v>
      </c>
      <c r="B65" s="77"/>
      <c r="C65" s="77"/>
      <c r="D65" s="77"/>
      <c r="E65" s="77"/>
      <c r="F65" s="77"/>
      <c r="G65" s="77"/>
      <c r="H65" s="77"/>
      <c r="I65" s="77"/>
    </row>
    <row r="66" customFormat="false" ht="15" hidden="false" customHeight="false" outlineLevel="0" collapsed="false">
      <c r="A66" s="2" t="s">
        <v>342</v>
      </c>
      <c r="O66" s="4" t="s">
        <v>156</v>
      </c>
      <c r="Q66" s="4" t="s">
        <v>14</v>
      </c>
      <c r="U66" s="4" t="s">
        <v>16</v>
      </c>
    </row>
    <row r="67" customFormat="false" ht="15" hidden="false" customHeight="false" outlineLevel="0" collapsed="false">
      <c r="A67" s="95" t="s">
        <v>205</v>
      </c>
      <c r="L67" s="13"/>
      <c r="Q67" s="37" t="n">
        <v>0</v>
      </c>
      <c r="R67" s="37" t="n">
        <v>1</v>
      </c>
      <c r="U67" s="37" t="n">
        <v>0</v>
      </c>
      <c r="V67" s="37" t="n">
        <v>1</v>
      </c>
    </row>
    <row r="68" customFormat="false" ht="15" hidden="false" customHeight="false" outlineLevel="0" collapsed="false">
      <c r="A68" s="2" t="s">
        <v>206</v>
      </c>
      <c r="O68" s="34" t="s">
        <v>14</v>
      </c>
      <c r="P68" s="34" t="s">
        <v>15</v>
      </c>
      <c r="T68" s="34" t="s">
        <v>16</v>
      </c>
    </row>
    <row r="69" customFormat="false" ht="15" hidden="false" customHeight="false" outlineLevel="0" collapsed="false">
      <c r="A69" s="2" t="s">
        <v>343</v>
      </c>
      <c r="O69" s="35" t="n">
        <v>1</v>
      </c>
      <c r="P69" s="35" t="n">
        <v>0</v>
      </c>
      <c r="Q69" s="1" t="n">
        <v>0.5</v>
      </c>
      <c r="R69" s="1" t="n">
        <v>0.5</v>
      </c>
      <c r="T69" s="35" t="n">
        <v>0</v>
      </c>
      <c r="U69" s="1" t="n">
        <v>0.5</v>
      </c>
      <c r="V69" s="1" t="n">
        <v>0.5</v>
      </c>
    </row>
    <row r="70" customFormat="false" ht="15" hidden="false" customHeight="false" outlineLevel="0" collapsed="false">
      <c r="A70" s="2" t="s">
        <v>344</v>
      </c>
    </row>
    <row r="71" customFormat="false" ht="15" hidden="false" customHeight="false" outlineLevel="0" collapsed="false">
      <c r="A71" s="2" t="s">
        <v>345</v>
      </c>
      <c r="S71" s="5" t="s">
        <v>14</v>
      </c>
      <c r="T71" s="6" t="n">
        <v>0</v>
      </c>
      <c r="U71" s="6" t="n">
        <v>1</v>
      </c>
      <c r="V71" s="6" t="n">
        <v>0</v>
      </c>
      <c r="W71" s="6" t="n">
        <v>1</v>
      </c>
    </row>
    <row r="72" customFormat="false" ht="15" hidden="false" customHeight="false" outlineLevel="0" collapsed="false">
      <c r="A72" s="2" t="s">
        <v>346</v>
      </c>
      <c r="S72" s="5" t="s">
        <v>16</v>
      </c>
      <c r="T72" s="6" t="n">
        <v>0</v>
      </c>
      <c r="U72" s="6" t="n">
        <v>0</v>
      </c>
      <c r="V72" s="6" t="n">
        <v>1</v>
      </c>
      <c r="W72" s="6" t="n">
        <v>1</v>
      </c>
    </row>
    <row r="73" customFormat="false" ht="15" hidden="false" customHeight="false" outlineLevel="0" collapsed="false">
      <c r="A73" s="2"/>
      <c r="P73" s="34" t="s">
        <v>14</v>
      </c>
      <c r="Q73" s="34" t="s">
        <v>15</v>
      </c>
      <c r="R73" s="34" t="s">
        <v>16</v>
      </c>
    </row>
    <row r="74" customFormat="false" ht="15" hidden="false" customHeight="false" outlineLevel="0" collapsed="false">
      <c r="A74" s="96" t="s">
        <v>214</v>
      </c>
      <c r="P74" s="35" t="n">
        <v>1</v>
      </c>
      <c r="Q74" s="35" t="n">
        <v>0</v>
      </c>
      <c r="R74" s="35" t="n">
        <v>0</v>
      </c>
      <c r="T74" s="4" t="n">
        <f aca="false">Q69*U69</f>
        <v>0.25</v>
      </c>
      <c r="U74" s="4" t="n">
        <f aca="false">R69*U69</f>
        <v>0.25</v>
      </c>
      <c r="V74" s="4" t="n">
        <f aca="false">Q69*V69</f>
        <v>0.25</v>
      </c>
      <c r="W74" s="4" t="n">
        <f aca="false">R69*V69</f>
        <v>0.25</v>
      </c>
    </row>
    <row r="75" customFormat="false" ht="15" hidden="false" customHeight="false" outlineLevel="0" collapsed="false">
      <c r="B75" s="37" t="s">
        <v>41</v>
      </c>
      <c r="C75" s="32" t="s">
        <v>155</v>
      </c>
      <c r="D75" s="32" t="s">
        <v>43</v>
      </c>
      <c r="E75" s="33"/>
      <c r="T75" s="12" t="n">
        <v>0</v>
      </c>
      <c r="U75" s="12" t="n">
        <v>0</v>
      </c>
      <c r="V75" s="12" t="n">
        <v>1</v>
      </c>
      <c r="W75" s="12" t="n">
        <v>0</v>
      </c>
    </row>
    <row r="76" customFormat="false" ht="15" hidden="false" customHeight="false" outlineLevel="0" collapsed="false">
      <c r="B76" s="155" t="s">
        <v>347</v>
      </c>
      <c r="C76" s="155" t="n">
        <f aca="false">$K$25</f>
        <v>0.5</v>
      </c>
      <c r="D76" s="156"/>
      <c r="E76" s="155"/>
      <c r="R76" s="4" t="s">
        <v>90</v>
      </c>
      <c r="T76" s="4" t="n">
        <f aca="false">T74*1+U74*2+W74*1</f>
        <v>1</v>
      </c>
    </row>
    <row r="77" customFormat="false" ht="15" hidden="false" customHeight="false" outlineLevel="0" collapsed="false">
      <c r="B77" s="155" t="s">
        <v>313</v>
      </c>
      <c r="C77" s="155" t="n">
        <f aca="false">$K$57</f>
        <v>0.5</v>
      </c>
      <c r="D77" s="155"/>
      <c r="E77" s="155"/>
      <c r="O77" s="4" t="s">
        <v>169</v>
      </c>
      <c r="V77" s="4" t="s">
        <v>14</v>
      </c>
    </row>
    <row r="78" customFormat="false" ht="15" hidden="false" customHeight="false" outlineLevel="0" collapsed="false">
      <c r="B78" s="155" t="s">
        <v>348</v>
      </c>
      <c r="C78" s="155" t="n">
        <f aca="false">$H$56</f>
        <v>1</v>
      </c>
      <c r="D78" s="155"/>
      <c r="E78" s="155"/>
      <c r="P78" s="4" t="s">
        <v>16</v>
      </c>
      <c r="Q78" s="37" t="n">
        <v>0</v>
      </c>
      <c r="R78" s="37" t="n">
        <v>1</v>
      </c>
      <c r="V78" s="37" t="n">
        <v>0</v>
      </c>
      <c r="W78" s="37" t="n">
        <v>1</v>
      </c>
    </row>
    <row r="79" customFormat="false" ht="15" hidden="false" customHeight="false" outlineLevel="0" collapsed="false">
      <c r="B79" s="1" t="s">
        <v>349</v>
      </c>
      <c r="C79" s="155" t="n">
        <f aca="false">$T$107</f>
        <v>0.5</v>
      </c>
      <c r="D79" s="155"/>
      <c r="E79" s="155"/>
      <c r="O79" s="34" t="s">
        <v>14</v>
      </c>
      <c r="P79" s="34" t="s">
        <v>15</v>
      </c>
      <c r="U79" s="34" t="s">
        <v>16</v>
      </c>
    </row>
    <row r="80" customFormat="false" ht="15" hidden="false" customHeight="false" outlineLevel="0" collapsed="false">
      <c r="O80" s="35" t="n">
        <v>1</v>
      </c>
      <c r="P80" s="35" t="n">
        <v>0</v>
      </c>
      <c r="Q80" s="11" t="n">
        <v>0</v>
      </c>
      <c r="R80" s="11" t="n">
        <v>1</v>
      </c>
      <c r="U80" s="35" t="n">
        <v>0</v>
      </c>
      <c r="V80" s="1" t="n">
        <v>0.5</v>
      </c>
      <c r="W80" s="1" t="n">
        <v>0.5</v>
      </c>
    </row>
    <row r="82" customFormat="false" ht="15" hidden="false" customHeight="false" outlineLevel="0" collapsed="false">
      <c r="S82" s="5" t="s">
        <v>14</v>
      </c>
      <c r="T82" s="6" t="n">
        <v>0</v>
      </c>
      <c r="U82" s="6" t="n">
        <v>1</v>
      </c>
      <c r="V82" s="6" t="n">
        <v>0</v>
      </c>
      <c r="W82" s="6" t="n">
        <v>1</v>
      </c>
    </row>
    <row r="83" customFormat="false" ht="15" hidden="false" customHeight="false" outlineLevel="0" collapsed="false">
      <c r="S83" s="5" t="s">
        <v>16</v>
      </c>
      <c r="T83" s="6" t="n">
        <v>0</v>
      </c>
      <c r="U83" s="6" t="n">
        <v>0</v>
      </c>
      <c r="V83" s="6" t="n">
        <v>1</v>
      </c>
      <c r="W83" s="6" t="n">
        <v>1</v>
      </c>
    </row>
    <row r="84" customFormat="false" ht="15" hidden="false" customHeight="false" outlineLevel="0" collapsed="false">
      <c r="P84" s="34" t="s">
        <v>14</v>
      </c>
      <c r="Q84" s="34" t="s">
        <v>15</v>
      </c>
      <c r="R84" s="34" t="s">
        <v>16</v>
      </c>
      <c r="T84" s="4" t="n">
        <f aca="false">V80*Q80</f>
        <v>0</v>
      </c>
      <c r="U84" s="4" t="n">
        <f aca="false">Q80</f>
        <v>0</v>
      </c>
      <c r="V84" s="4" t="n">
        <f aca="false">V80*R80</f>
        <v>0.5</v>
      </c>
      <c r="W84" s="4" t="n">
        <f aca="false">W80*R80</f>
        <v>0.5</v>
      </c>
    </row>
    <row r="85" customFormat="false" ht="15" hidden="false" customHeight="false" outlineLevel="0" collapsed="false">
      <c r="T85" s="12" t="n">
        <v>0</v>
      </c>
      <c r="U85" s="12" t="n">
        <v>0</v>
      </c>
      <c r="V85" s="12" t="n">
        <v>1</v>
      </c>
      <c r="W85" s="12" t="n">
        <v>0</v>
      </c>
    </row>
    <row r="86" customFormat="false" ht="15" hidden="false" customHeight="false" outlineLevel="0" collapsed="false">
      <c r="R86" s="1" t="s">
        <v>90</v>
      </c>
      <c r="T86" s="1" t="n">
        <f aca="false">T84*1+U84*2+W84*1</f>
        <v>0.5</v>
      </c>
    </row>
    <row r="89" customFormat="false" ht="15" hidden="false" customHeight="false" outlineLevel="0" collapsed="false">
      <c r="O89" s="1" t="s">
        <v>224</v>
      </c>
      <c r="Q89" s="1" t="s">
        <v>14</v>
      </c>
      <c r="U89" s="1" t="s">
        <v>16</v>
      </c>
      <c r="AA89" s="1" t="s">
        <v>14</v>
      </c>
    </row>
    <row r="90" customFormat="false" ht="15" hidden="false" customHeight="false" outlineLevel="0" collapsed="false">
      <c r="Q90" s="37" t="n">
        <v>0</v>
      </c>
      <c r="R90" s="37" t="n">
        <v>1</v>
      </c>
      <c r="U90" s="37" t="n">
        <v>0</v>
      </c>
      <c r="V90" s="37" t="n">
        <v>1</v>
      </c>
      <c r="AA90" s="37" t="n">
        <v>0</v>
      </c>
      <c r="AB90" s="37" t="n">
        <v>1</v>
      </c>
      <c r="AE90" s="4" t="s">
        <v>16</v>
      </c>
      <c r="AF90" s="37" t="n">
        <v>0</v>
      </c>
      <c r="AG90" s="37" t="n">
        <v>1</v>
      </c>
    </row>
    <row r="91" customFormat="false" ht="15" hidden="false" customHeight="false" outlineLevel="0" collapsed="false">
      <c r="O91" s="34" t="s">
        <v>14</v>
      </c>
      <c r="P91" s="34" t="s">
        <v>16</v>
      </c>
      <c r="T91" s="34" t="s">
        <v>15</v>
      </c>
      <c r="Z91" s="34" t="s">
        <v>16</v>
      </c>
      <c r="AD91" s="34" t="s">
        <v>14</v>
      </c>
      <c r="AE91" s="34" t="s">
        <v>15</v>
      </c>
    </row>
    <row r="92" customFormat="false" ht="15" hidden="false" customHeight="false" outlineLevel="0" collapsed="false">
      <c r="O92" s="35" t="n">
        <v>1</v>
      </c>
      <c r="P92" s="35" t="n">
        <v>0</v>
      </c>
      <c r="Q92" s="1" t="n">
        <v>0.5</v>
      </c>
      <c r="R92" s="1" t="n">
        <v>0.5</v>
      </c>
      <c r="T92" s="35" t="n">
        <v>0</v>
      </c>
      <c r="U92" s="1" t="n">
        <v>0.5</v>
      </c>
      <c r="V92" s="1" t="n">
        <v>0.5</v>
      </c>
      <c r="Z92" s="35" t="n">
        <v>0</v>
      </c>
      <c r="AA92" s="1" t="n">
        <v>0.5</v>
      </c>
      <c r="AB92" s="1" t="n">
        <v>0.5</v>
      </c>
      <c r="AD92" s="35" t="n">
        <v>1</v>
      </c>
      <c r="AE92" s="35" t="n">
        <v>0</v>
      </c>
      <c r="AF92" s="11" t="n">
        <v>0</v>
      </c>
      <c r="AG92" s="11" t="n">
        <v>1</v>
      </c>
    </row>
    <row r="94" customFormat="false" ht="15" hidden="false" customHeight="false" outlineLevel="0" collapsed="false">
      <c r="S94" s="5" t="s">
        <v>14</v>
      </c>
      <c r="T94" s="6" t="n">
        <v>0</v>
      </c>
      <c r="U94" s="6" t="n">
        <v>1</v>
      </c>
      <c r="V94" s="6" t="n">
        <v>0</v>
      </c>
      <c r="W94" s="6" t="n">
        <v>1</v>
      </c>
      <c r="AE94" s="5" t="s">
        <v>14</v>
      </c>
      <c r="AF94" s="6" t="n">
        <v>0</v>
      </c>
      <c r="AG94" s="6" t="n">
        <v>1</v>
      </c>
      <c r="AH94" s="6" t="n">
        <v>0</v>
      </c>
      <c r="AI94" s="6" t="n">
        <v>1</v>
      </c>
    </row>
    <row r="95" customFormat="false" ht="15" hidden="false" customHeight="false" outlineLevel="0" collapsed="false">
      <c r="S95" s="5" t="s">
        <v>16</v>
      </c>
      <c r="T95" s="6" t="n">
        <v>0</v>
      </c>
      <c r="U95" s="6" t="n">
        <v>0</v>
      </c>
      <c r="V95" s="6" t="n">
        <v>1</v>
      </c>
      <c r="W95" s="6" t="n">
        <v>1</v>
      </c>
      <c r="AE95" s="5" t="s">
        <v>16</v>
      </c>
      <c r="AF95" s="6" t="n">
        <v>0</v>
      </c>
      <c r="AG95" s="6" t="n">
        <v>0</v>
      </c>
      <c r="AH95" s="6" t="n">
        <v>1</v>
      </c>
      <c r="AI95" s="6" t="n">
        <v>1</v>
      </c>
    </row>
    <row r="96" customFormat="false" ht="15" hidden="false" customHeight="false" outlineLevel="0" collapsed="false">
      <c r="P96" s="34" t="s">
        <v>14</v>
      </c>
      <c r="Q96" s="34" t="s">
        <v>15</v>
      </c>
      <c r="R96" s="34" t="s">
        <v>16</v>
      </c>
      <c r="AB96" s="34" t="s">
        <v>14</v>
      </c>
      <c r="AC96" s="34" t="s">
        <v>15</v>
      </c>
      <c r="AD96" s="34" t="s">
        <v>16</v>
      </c>
    </row>
    <row r="97" customFormat="false" ht="15" hidden="false" customHeight="false" outlineLevel="0" collapsed="false">
      <c r="P97" s="35" t="n">
        <v>1</v>
      </c>
      <c r="Q97" s="35" t="n">
        <v>0</v>
      </c>
      <c r="R97" s="35" t="n">
        <v>0</v>
      </c>
      <c r="T97" s="4" t="n">
        <f aca="false">Q92*U92</f>
        <v>0.25</v>
      </c>
      <c r="U97" s="4" t="n">
        <f aca="false">R92*U92</f>
        <v>0.25</v>
      </c>
      <c r="V97" s="4" t="n">
        <f aca="false">Q92*V92</f>
        <v>0.25</v>
      </c>
      <c r="W97" s="4" t="n">
        <f aca="false">R92*V92</f>
        <v>0.25</v>
      </c>
      <c r="AB97" s="35" t="n">
        <v>1</v>
      </c>
      <c r="AC97" s="35" t="n">
        <v>0</v>
      </c>
      <c r="AD97" s="35" t="n">
        <v>0</v>
      </c>
      <c r="AF97" s="4" t="n">
        <f aca="false">AA92*AF92</f>
        <v>0</v>
      </c>
      <c r="AG97" s="4" t="n">
        <f aca="false">AB92*AF92</f>
        <v>0</v>
      </c>
      <c r="AH97" s="4" t="n">
        <f aca="false">AA92*AG92</f>
        <v>0.5</v>
      </c>
      <c r="AI97" s="4" t="n">
        <f aca="false">AB92*AG92</f>
        <v>0.5</v>
      </c>
    </row>
    <row r="98" customFormat="false" ht="15" hidden="false" customHeight="false" outlineLevel="0" collapsed="false">
      <c r="T98" s="12" t="n">
        <v>0</v>
      </c>
      <c r="U98" s="12" t="n">
        <v>0</v>
      </c>
      <c r="V98" s="12" t="n">
        <v>1</v>
      </c>
      <c r="W98" s="12" t="n">
        <v>0</v>
      </c>
      <c r="AF98" s="12" t="n">
        <v>0</v>
      </c>
      <c r="AG98" s="12" t="n">
        <v>0</v>
      </c>
      <c r="AH98" s="12" t="n">
        <v>1</v>
      </c>
      <c r="AI98" s="12" t="n">
        <v>0</v>
      </c>
    </row>
    <row r="99" customFormat="false" ht="15" hidden="false" customHeight="false" outlineLevel="0" collapsed="false">
      <c r="R99" s="1" t="s">
        <v>90</v>
      </c>
      <c r="T99" s="1" t="n">
        <f aca="false">T97*1+U97*2+W97*1</f>
        <v>1</v>
      </c>
      <c r="AD99" s="1" t="s">
        <v>90</v>
      </c>
      <c r="AF99" s="1" t="n">
        <f aca="false">AF97*1+AG97*2+AI97*1</f>
        <v>0.5</v>
      </c>
    </row>
    <row r="101" customFormat="false" ht="15" hidden="false" customHeight="false" outlineLevel="0" collapsed="false">
      <c r="O101" s="1" t="s">
        <v>184</v>
      </c>
    </row>
    <row r="102" customFormat="false" ht="15" hidden="false" customHeight="false" outlineLevel="0" collapsed="false">
      <c r="S102" s="5" t="s">
        <v>14</v>
      </c>
      <c r="T102" s="6" t="n">
        <v>0</v>
      </c>
      <c r="U102" s="6" t="n">
        <v>1</v>
      </c>
      <c r="V102" s="6" t="n">
        <v>0</v>
      </c>
      <c r="W102" s="6" t="n">
        <v>1</v>
      </c>
    </row>
    <row r="103" customFormat="false" ht="15" hidden="false" customHeight="false" outlineLevel="0" collapsed="false">
      <c r="S103" s="5" t="s">
        <v>16</v>
      </c>
      <c r="T103" s="6" t="n">
        <v>0</v>
      </c>
      <c r="U103" s="6" t="n">
        <v>0</v>
      </c>
      <c r="V103" s="6" t="n">
        <v>1</v>
      </c>
      <c r="W103" s="6" t="n">
        <v>1</v>
      </c>
    </row>
    <row r="104" customFormat="false" ht="15" hidden="false" customHeight="false" outlineLevel="0" collapsed="false">
      <c r="P104" s="34" t="s">
        <v>14</v>
      </c>
      <c r="Q104" s="34" t="s">
        <v>15</v>
      </c>
      <c r="R104" s="34" t="s">
        <v>16</v>
      </c>
    </row>
    <row r="105" customFormat="false" ht="15" hidden="false" customHeight="false" outlineLevel="0" collapsed="false">
      <c r="P105" s="35" t="n">
        <v>1</v>
      </c>
      <c r="Q105" s="35" t="n">
        <v>0</v>
      </c>
      <c r="R105" s="35" t="n">
        <v>0</v>
      </c>
      <c r="T105" s="155" t="n">
        <v>0.5</v>
      </c>
      <c r="U105" s="155" t="n">
        <v>0</v>
      </c>
      <c r="V105" s="155" t="n">
        <v>0.5</v>
      </c>
      <c r="W105" s="155" t="n">
        <v>0</v>
      </c>
    </row>
    <row r="106" customFormat="false" ht="15" hidden="false" customHeight="false" outlineLevel="0" collapsed="false">
      <c r="T106" s="12" t="n">
        <v>0</v>
      </c>
      <c r="U106" s="12" t="n">
        <v>0</v>
      </c>
      <c r="V106" s="12" t="n">
        <v>1</v>
      </c>
      <c r="W106" s="12" t="n">
        <v>0</v>
      </c>
    </row>
    <row r="107" customFormat="false" ht="15" hidden="false" customHeight="false" outlineLevel="0" collapsed="false">
      <c r="R107" s="1" t="s">
        <v>90</v>
      </c>
      <c r="T107" s="1" t="n">
        <f aca="false">T105*1+U105*2+W105*1</f>
        <v>0.5</v>
      </c>
    </row>
  </sheetData>
  <mergeCells count="1">
    <mergeCell ref="AM1:AM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66"/>
  <sheetViews>
    <sheetView showFormulas="false" showGridLines="true" showRowColHeaders="true" showZeros="true" rightToLeft="false" tabSelected="false" showOutlineSymbols="true" defaultGridColor="true" view="normal" topLeftCell="A38" colorId="64" zoomScale="60" zoomScaleNormal="60" zoomScalePageLayoutView="100" workbookViewId="0">
      <selection pane="topLeft" activeCell="P47" activeCellId="0" sqref="P47"/>
    </sheetView>
  </sheetViews>
  <sheetFormatPr defaultColWidth="11.00390625" defaultRowHeight="15" zeroHeight="false" outlineLevelRow="0" outlineLevelCol="0"/>
  <sheetData>
    <row r="2" customFormat="false" ht="17.35" hidden="false" customHeight="false" outlineLevel="0" collapsed="false">
      <c r="B2" s="38" t="s">
        <v>350</v>
      </c>
    </row>
    <row r="4" customFormat="false" ht="19.7" hidden="false" customHeight="false" outlineLevel="0" collapsed="false">
      <c r="C4" s="113" t="s">
        <v>351</v>
      </c>
    </row>
    <row r="35" customFormat="false" ht="19.7" hidden="false" customHeight="false" outlineLevel="0" collapsed="false">
      <c r="C35" s="113" t="s">
        <v>352</v>
      </c>
    </row>
    <row r="66" customFormat="false" ht="19.7" hidden="false" customHeight="false" outlineLevel="0" collapsed="false">
      <c r="C66" s="113" t="s">
        <v>353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item1.xml><?xml version="1.0" encoding="utf-8"?>
<DataMashup xmlns="http://schemas.microsoft.com/DataMashup">AAAAABYDAABQSwMEFAACAAgA54lLV56dzbumAAAA+QAAABIAHABDb25maWcvUGFja2FnZS54bWwgohgAKKAUAAAAAAAAAAAAAAAAAAAAAAAAAAAAhc8xDoIwGAXgq5DutKUaI+SnDKwSTUyMa1MqNEIxtFju5uCRvIIkiro5vpdveO9xu0M2tk1wVb3VnUlRhCkKlJFdqU2VosGdwjXKOOyEPItKBRM2NhltmaLauUtCiPce+wXu+oowSiNyLDZ7WatWoA/W/3GojXXCSIU4HF5jOMPxEq8YizGdLJC5h0Kbr2HTZEyB/JSQD40besWVDfMtkDkCed/gT1BLAwQUAAIACADniUtX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54lLVyiKR7gOAAAAEQAAABMAHABGb3JtdWxhcy9TZWN0aW9uMS5tIKIYACigFAAAAAAAAAAAAAAAAAAAAAAAAAAAACtOTS7JzM9TCIbQhtYAUEsBAi0AFAACAAgA54lLV56dzbumAAAA+QAAABIAAAAAAAAAAAAAAAAAAAAAAENvbmZpZy9QYWNrYWdlLnhtbFBLAQItABQAAgAIAOeJS1cPyumrpAAAAOkAAAATAAAAAAAAAAAAAAAAAPIAAABbQ29udGVudF9UeXBlc10ueG1sUEsBAi0AFAACAAgA54lLVyiKR7gOAAAAEQAAABMAAAAAAAAAAAAAAAAA4wEAAEZvcm11bGFzL1NlY3Rpb24xLm1QSwUGAAAAAAMAAwDCAAAAPgIAAAAAEAEAAO+7vzw/eG1sIHZlcnNpb249IjEuMCIgZW5jb2Rpbmc9InV0Zi04Ij8+PFBlcm1pc3Npb25MaXN0IHhtbG5zOnhzZD0iaHR0cDovL3d3dy53My5vcmcvMjAwMS9YTUxTY2hlbWEiIHhtbG5zOnhzaT0iaHR0cDovL3d3dy53My5vcmcvMjAwMS9YTUxTY2hlbWEtaW5zdGFuY2UiPjxDYW5FdmFsdWF0ZUZ1dHVyZVBhY2thZ2VzPmZhbHNlPC9DYW5FdmFsdWF0ZUZ1dHVyZVBhY2thZ2VzPjxGaXJld2FsbEVuYWJsZWQ+dHJ1ZTwvRmlyZXdhbGxFbmFibGVkPjwvUGVybWlzc2lvbkxpc3Q+lwEAAAAAAAB1AQAA77u/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PEl0ZW1QYXRoIC8+PC9JdGVtTG9jYXRpb24+PFN0YWJsZUVudHJpZXM+PEVudHJ5IFR5cGU9IlJlbGF0aW9uc2hpcHMiIFZhbHVlPSJzQUFBQUFBPT0iIC8+PC9TdGFibGVFbnRyaWVzPjwvSXRlbT48L0l0ZW1zPjwvTG9jYWxQYWNrYWdlTWV0YWRhdGFGaWxlPhYAAABQSwUGAAAAAAAAAAAAAAAAAAAAAAAAJgEAAAEAAADQjJ3fARXREYx6AMBPwpfrAQAAAJtxdpNvqghNvDhGR4qqP4UAAAAAAgAAAAAAEGYAAAABAAAgAAAADumo5G7W6AP16NEht4y698I81XPkSl+CJwKmwfXhZGsAAAAADoAAAAACAAAgAAAA8+OhHeSATCsfRhZyevxnm6bO8Ue5N7bh1KQ3D67rAx5QAAAAYblUDfC17l3x+Ag1zjY9o8pci4k0/2Zy2BL5Kes3WphVYfa3xh3u9xzuedXM1MM9FgEUmYISoRF3zKqS3i/Ki3/Aid3M+rkFvkoSRtOu9RRAAAAApYylHdroYEbCSkQM+CNbdyTjiC9P0Krsj9G+BtohRBZTRGaKxxC5FoEY1qXsf42QbqQVMN31V2d6YeTYiS3CIQ==</DataMashup>
</file>

<file path=customXml/itemProps1.xml><?xml version="1.0" encoding="utf-8"?>
<ds:datastoreItem xmlns:ds="http://schemas.openxmlformats.org/officeDocument/2006/customXml" ds:itemID="{0CFFD01E-9CF9-4E98-A10A-BE6652E1D59E}">
  <ds:schemaRefs/>
</ds:datastoreItem>
</file>

<file path=docProps/app.xml><?xml version="1.0" encoding="utf-8"?>
<Properties xmlns="http://schemas.openxmlformats.org/officeDocument/2006/extended-properties" xmlns:vt="http://schemas.openxmlformats.org/officeDocument/2006/docPropsVTypes">
  <Template/>
  <TotalTime>191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2023-10-11T04:31:00Z</dcterms:created>
  <dc:creator>Luz Enith</dc:creator>
  <dc:description/>
  <dc:language>es-ES</dc:language>
  <cp:lastModifiedBy/>
  <dcterms:modified xsi:type="dcterms:W3CDTF">2025-03-22T15:53:49Z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81229F03CA5240A5AC41D85D042B4B60_13</vt:lpwstr>
  </property>
  <property fmtid="{D5CDD505-2E9C-101B-9397-08002B2CF9AE}" pid="3" name="KSOProductBuildVer">
    <vt:lpwstr>3082-12.2.0.20341</vt:lpwstr>
  </property>
</Properties>
</file>